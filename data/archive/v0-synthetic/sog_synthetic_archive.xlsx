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posals" sheetId="2" state="visible" r:id="rId4"/>
    <sheet name="Fee_Lines" sheetId="3" state="visible" r:id="rId5"/>
    <sheet name="Reimbursables" sheetId="4" state="visible" r:id="rId6"/>
    <sheet name="Payments" sheetId="5" state="visible" r:id="rId7"/>
    <sheet name="Deliverables" sheetId="6" state="visible" r:id="rId8"/>
    <sheet name="TC_Deviations" sheetId="7" state="visible" r:id="rId9"/>
    <sheet name="Pricing_Trace" sheetId="8" state="visible" r:id="rId10"/>
    <sheet name="Benchmarks" sheetId="9" state="visible" r:id="rId11"/>
    <sheet name="Assumptions" sheetId="10" state="visible" r:id="rId12"/>
    <sheet name="Clients" sheetId="11" state="visible" r:id="rId13"/>
    <sheet name="Studios" sheetId="12" state="visible" r:id="rId14"/>
    <sheet name="FX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<sst xmlns="http://schemas.openxmlformats.org/spreadsheetml/2006/main" count="1981" uniqueCount="554">
  <si>
    <t xml:space="preserve">SOG synthetic proposal archive - PoC seed data</t>
  </si>
  <si>
    <t xml:space="preserve">SYNTHETIC DATA. Not SOG data. Generated 1 October 2026 to seed the reference engine until the real archive is loaded.</t>
  </si>
  <si>
    <t xml:space="preserve">How the numbers were built</t>
  </si>
  <si>
    <t xml:space="preserve">1. Construction cost per m2 comes from cited market benchmarks (sheet Benchmarks), escalated to the proposal year.</t>
  </si>
  <si>
    <t xml:space="preserve">2. Fees apply SOG's own pricing logic (01.jpg): typology, service, stage, location tier, client status and site complexity.</t>
  </si>
  <si>
    <t xml:space="preserve">3. Fee percentages, stage shares and modifiers are ASSUMPTIONS (sheet Assumptions) to be replaced by calibration on SOG's archive.</t>
  </si>
  <si>
    <t xml:space="preserve">4. Quotes include random variation, and lost bids were priced above the model, so the engine has realistic signal to learn from.</t>
  </si>
  <si>
    <t xml:space="preserve">5. Pricing_Trace shows exactly how each synthetic proposal was generated.</t>
  </si>
  <si>
    <t xml:space="preserve">Colour key</t>
  </si>
  <si>
    <t xml:space="preserve">Blue text = recorded input values (what the proposal stated). Black text = formulas calculated in this workbook.</t>
  </si>
  <si>
    <t xml:space="preserve">Sheets</t>
  </si>
  <si>
    <t xml:space="preserve">Proposals - one row per proposal (request side + response side). Totals, USD and fee per m2 are formulas.</t>
  </si>
  <si>
    <t xml:space="preserve">Fee_Lines - fee by service and stage. USD column is a formula using FX.</t>
  </si>
  <si>
    <t xml:space="preserve">Reimbursables, Payments, Deliverables, TC_Deviations - supporting tables.</t>
  </si>
  <si>
    <t xml:space="preserve">Pricing_Trace - generation trace (synthetic data only).</t>
  </si>
  <si>
    <t xml:space="preserve">Benchmarks - cited sources with URLs. Assumptions - parameters to calibrate. FX - exchange rates. Clients, Studios - reference.</t>
  </si>
  <si>
    <t xml:space="preserve">Proposal ID</t>
  </si>
  <si>
    <t xml:space="preserve">Reference</t>
  </si>
  <si>
    <t xml:space="preserve">Title</t>
  </si>
  <si>
    <t xml:space="preserve">Origin</t>
  </si>
  <si>
    <t xml:space="preserve">Studio</t>
  </si>
  <si>
    <t xml:space="preserve">Client</t>
  </si>
  <si>
    <t xml:space="preserve">Client status</t>
  </si>
  <si>
    <t xml:space="preserve">Country</t>
  </si>
  <si>
    <t xml:space="preserve">City</t>
  </si>
  <si>
    <t xml:space="preserve">Location tier</t>
  </si>
  <si>
    <t xml:space="preserve">Typology</t>
  </si>
  <si>
    <t xml:space="preserve">Services</t>
  </si>
  <si>
    <t xml:space="preserve">Stage package</t>
  </si>
  <si>
    <t xml:space="preserve">GFA m2</t>
  </si>
  <si>
    <t xml:space="preserve">Site area m2</t>
  </si>
  <si>
    <t xml:space="preserve">Landscape m2</t>
  </si>
  <si>
    <t xml:space="preserve">Fit-out m2</t>
  </si>
  <si>
    <t xml:space="preserve">Units</t>
  </si>
  <si>
    <t xml:space="preserve">Keys</t>
  </si>
  <si>
    <t xml:space="preserve">Complexity</t>
  </si>
  <si>
    <t xml:space="preserve">Complexity notes</t>
  </si>
  <si>
    <t xml:space="preserve">Submission date</t>
  </si>
  <si>
    <t xml:space="preserve">Currency</t>
  </si>
  <si>
    <t xml:space="preserve">Construction cost USD/m2 (benchmark)</t>
  </si>
  <si>
    <t xml:space="preserve">Fee total (local)</t>
  </si>
  <si>
    <t xml:space="preserve">Fee total (USD)</t>
  </si>
  <si>
    <t xml:space="preserve">Fee per m2 GFA (USD)</t>
  </si>
  <si>
    <t xml:space="preserve">Reimbursables (local)</t>
  </si>
  <si>
    <t xml:space="preserve">Status</t>
  </si>
  <si>
    <t xml:space="preserve">Loss reason</t>
  </si>
  <si>
    <t xml:space="preserve">Project challenges</t>
  </si>
  <si>
    <t xml:space="preserve">Document area unit</t>
  </si>
  <si>
    <t xml:space="preserve">Stage terms used in document</t>
  </si>
  <si>
    <t xml:space="preserve">P01</t>
  </si>
  <si>
    <t xml:space="preserve">SOG-DXB-2024-017</t>
  </si>
  <si>
    <t xml:space="preserve">Marina Crest Residences - 48-storey residential tower</t>
  </si>
  <si>
    <t xml:space="preserve">synthetic</t>
  </si>
  <si>
    <t xml:space="preserve">SOG Dubai</t>
  </si>
  <si>
    <t xml:space="preserve">Marina Crest Developments LLC</t>
  </si>
  <si>
    <t xml:space="preserve">repeat</t>
  </si>
  <si>
    <t xml:space="preserve">UAE</t>
  </si>
  <si>
    <t xml:space="preserve">Dubai</t>
  </si>
  <si>
    <t xml:space="preserve">prime</t>
  </si>
  <si>
    <t xml:space="preserve">residential</t>
  </si>
  <si>
    <t xml:space="preserve">architecture, interior</t>
  </si>
  <si>
    <t xml:space="preserve">concept, schematic_design, design_development</t>
  </si>
  <si>
    <t xml:space="preserve">medium</t>
  </si>
  <si>
    <t xml:space="preserve">Standard waterfront plot; marina setback rules</t>
  </si>
  <si>
    <t xml:space="preserve">2024-03-12</t>
  </si>
  <si>
    <t xml:space="preserve">AED</t>
  </si>
  <si>
    <t xml:space="preserve">won</t>
  </si>
  <si>
    <t xml:space="preserve">m2</t>
  </si>
  <si>
    <t xml:space="preserve">schematic_design: Schematic Design</t>
  </si>
  <si>
    <t xml:space="preserve">P02</t>
  </si>
  <si>
    <t xml:space="preserve">SOG-DXB-2025-004</t>
  </si>
  <si>
    <t xml:space="preserve">Coral Bay Resort &amp; Spa - 220-key beachfront resort</t>
  </si>
  <si>
    <t xml:space="preserve">Coral Bay Hospitality Holdings</t>
  </si>
  <si>
    <t xml:space="preserve">new</t>
  </si>
  <si>
    <t xml:space="preserve">Ras Al Khaimah</t>
  </si>
  <si>
    <t xml:space="preserve">second</t>
  </si>
  <si>
    <t xml:space="preserve">hospitality</t>
  </si>
  <si>
    <t xml:space="preserve">architecture, interior, landscape</t>
  </si>
  <si>
    <t xml:space="preserve">concept, schematic_design, design_development, gfc_review</t>
  </si>
  <si>
    <t xml:space="preserve">high</t>
  </si>
  <si>
    <t xml:space="preserve">Sloping coastal site, coastal setback and turtle-nesting constraints</t>
  </si>
  <si>
    <t xml:space="preserve">2025-02-03</t>
  </si>
  <si>
    <t xml:space="preserve">gfc_review: GFC Drawing Review</t>
  </si>
  <si>
    <t xml:space="preserve">P03</t>
  </si>
  <si>
    <t xml:space="preserve">SOG-DXB-2025-021</t>
  </si>
  <si>
    <t xml:space="preserve">Al Noor Gateway - mixed-use district block</t>
  </si>
  <si>
    <t xml:space="preserve">Al Noor Urban Investment Co.</t>
  </si>
  <si>
    <t xml:space="preserve">KSA</t>
  </si>
  <si>
    <t xml:space="preserve">Riyadh</t>
  </si>
  <si>
    <t xml:space="preserve">mixed_use</t>
  </si>
  <si>
    <t xml:space="preserve">architecture, landscape</t>
  </si>
  <si>
    <t xml:space="preserve">concept, schematic_design</t>
  </si>
  <si>
    <t xml:space="preserve">Large urban block; phased delivery</t>
  </si>
  <si>
    <t xml:space="preserve">2025-06-18</t>
  </si>
  <si>
    <t xml:space="preserve">SAR</t>
  </si>
  <si>
    <t xml:space="preserve">lost</t>
  </si>
  <si>
    <t xml:space="preserve">Price - client selected a lower-fee competitor</t>
  </si>
  <si>
    <t xml:space="preserve">P04</t>
  </si>
  <si>
    <t xml:space="preserve">SOG-DXB-2023-031</t>
  </si>
  <si>
    <t xml:space="preserve">Oasis Gardens - 120-villa community, Al Ain</t>
  </si>
  <si>
    <t xml:space="preserve">Oasis Living Properties</t>
  </si>
  <si>
    <t xml:space="preserve">Al Ain</t>
  </si>
  <si>
    <t xml:space="preserve">masterplan, architecture, landscape</t>
  </si>
  <si>
    <t xml:space="preserve">low</t>
  </si>
  <si>
    <t xml:space="preserve">Flat greenfield site</t>
  </si>
  <si>
    <t xml:space="preserve">2023-09-25</t>
  </si>
  <si>
    <t xml:space="preserve">P05</t>
  </si>
  <si>
    <t xml:space="preserve">SOG-BCN-2024-006</t>
  </si>
  <si>
    <t xml:space="preserve">Diagonal Norte - office refurbishment and extension</t>
  </si>
  <si>
    <t xml:space="preserve">SOG Barcelona</t>
  </si>
  <si>
    <t xml:space="preserve">Inmobiliaria Diagonal Norte S.L.</t>
  </si>
  <si>
    <t xml:space="preserve">Spain</t>
  </si>
  <si>
    <t xml:space="preserve">Barcelona</t>
  </si>
  <si>
    <t xml:space="preserve">office</t>
  </si>
  <si>
    <t xml:space="preserve">Protected heritage facade retained; constrained urban site</t>
  </si>
  <si>
    <t xml:space="preserve">2024-05-07</t>
  </si>
  <si>
    <t xml:space="preserve">EUR</t>
  </si>
  <si>
    <t xml:space="preserve">Lost to local practice with heritage track record</t>
  </si>
  <si>
    <t xml:space="preserve">schematic_design: Scheme Design (Anteproyecto)</t>
  </si>
  <si>
    <t xml:space="preserve">P06</t>
  </si>
  <si>
    <t xml:space="preserve">SOG-BCN-2025-012</t>
  </si>
  <si>
    <t xml:space="preserve">Costa Luz Boutique Hotel - 85 keys, Malaga</t>
  </si>
  <si>
    <t xml:space="preserve">Costa Luz Hoteles S.A.</t>
  </si>
  <si>
    <t xml:space="preserve">Malaga</t>
  </si>
  <si>
    <t xml:space="preserve">Historic centre height limits</t>
  </si>
  <si>
    <t xml:space="preserve">2025-04-22</t>
  </si>
  <si>
    <t xml:space="preserve">P07</t>
  </si>
  <si>
    <t xml:space="preserve">SOG-SIN-2024-009</t>
  </si>
  <si>
    <t xml:space="preserve">Straits Tower - Grade A office</t>
  </si>
  <si>
    <t xml:space="preserve">SOG Singapore</t>
  </si>
  <si>
    <t xml:space="preserve">Straits Commercial REIT</t>
  </si>
  <si>
    <t xml:space="preserve">Singapore</t>
  </si>
  <si>
    <t xml:space="preserve">architecture</t>
  </si>
  <si>
    <t xml:space="preserve">feasibility, concept</t>
  </si>
  <si>
    <t xml:space="preserve">CBD plot; plot-ratio optimisation study</t>
  </si>
  <si>
    <t xml:space="preserve">2024-08-14</t>
  </si>
  <si>
    <t xml:space="preserve">SGD</t>
  </si>
  <si>
    <t xml:space="preserve">withdrawn</t>
  </si>
  <si>
    <t xml:space="preserve">Client placed project on hold</t>
  </si>
  <si>
    <t xml:space="preserve">P08</t>
  </si>
  <si>
    <t xml:space="preserve">SOG-SIN-2025-003</t>
  </si>
  <si>
    <t xml:space="preserve">Harbourline Residences - condominium with clubhouse</t>
  </si>
  <si>
    <t xml:space="preserve">Harbourline Residences Pte Ltd</t>
  </si>
  <si>
    <t xml:space="preserve">concept, schematic_design, design_development, construction_review</t>
  </si>
  <si>
    <t xml:space="preserve">Waterfront; URA control plan requirements</t>
  </si>
  <si>
    <t xml:space="preserve">2025-01-20</t>
  </si>
  <si>
    <t xml:space="preserve">P09</t>
  </si>
  <si>
    <t xml:space="preserve">SOG-SGN-2024-011</t>
  </si>
  <si>
    <t xml:space="preserve">Saigon Riverside One - mixed-use tower (residential, hotel, retail)</t>
  </si>
  <si>
    <t xml:space="preserve">SOG Ho Chi Minh City</t>
  </si>
  <si>
    <t xml:space="preserve">Saigon Riverside Land JSC</t>
  </si>
  <si>
    <t xml:space="preserve">Vietnam</t>
  </si>
  <si>
    <t xml:space="preserve">Ho Chi Minh City</t>
  </si>
  <si>
    <t xml:space="preserve">Tight riverfront plot, three uses stacked, height-limit negotiation</t>
  </si>
  <si>
    <t xml:space="preserve">2024-04-02</t>
  </si>
  <si>
    <t xml:space="preserve">USD</t>
  </si>
  <si>
    <t xml:space="preserve">Three additional concept iterations requested; payment of DD instalment delayed four months</t>
  </si>
  <si>
    <t xml:space="preserve">design_development: Basic Design / Design Development</t>
  </si>
  <si>
    <t xml:space="preserve">P10</t>
  </si>
  <si>
    <t xml:space="preserve">SOG-SGN-2026-002</t>
  </si>
  <si>
    <t xml:space="preserve">Han River Bay Resort - masterplan and 180-key resort, Da Nang</t>
  </si>
  <si>
    <t xml:space="preserve">Han River Resorts JSC</t>
  </si>
  <si>
    <t xml:space="preserve">Da Nang</t>
  </si>
  <si>
    <t xml:space="preserve">masterplan, architecture, landscape, interior</t>
  </si>
  <si>
    <t xml:space="preserve">Beachfront; flood-level considerations</t>
  </si>
  <si>
    <t xml:space="preserve">2026-02-16</t>
  </si>
  <si>
    <t xml:space="preserve">submitted</t>
  </si>
  <si>
    <t xml:space="preserve">P11</t>
  </si>
  <si>
    <t xml:space="preserve">SOG-CAN-2023-008</t>
  </si>
  <si>
    <t xml:space="preserve">Pearl Delta Tech HQ campus</t>
  </si>
  <si>
    <t xml:space="preserve">SOG Guangzhou</t>
  </si>
  <si>
    <t xml:space="preserve">Pearl Delta Technology Group</t>
  </si>
  <si>
    <t xml:space="preserve">China</t>
  </si>
  <si>
    <t xml:space="preserve">Guangzhou</t>
  </si>
  <si>
    <t xml:space="preserve">Campus of four buildings with shared podium</t>
  </si>
  <si>
    <t xml:space="preserve">2023-11-06</t>
  </si>
  <si>
    <t xml:space="preserve">CNY</t>
  </si>
  <si>
    <t xml:space="preserve">Price - local design institute bid significantly lower</t>
  </si>
  <si>
    <t xml:space="preserve">design_development: Preliminary Design (DD)</t>
  </si>
  <si>
    <t xml:space="preserve">P12</t>
  </si>
  <si>
    <t xml:space="preserve">SOG-CAN-2024-015</t>
  </si>
  <si>
    <t xml:space="preserve">Foshan Riverside New District - masterplan</t>
  </si>
  <si>
    <t xml:space="preserve">Foshan New District Development Co.</t>
  </si>
  <si>
    <t xml:space="preserve">Foshan</t>
  </si>
  <si>
    <t xml:space="preserve">masterplan</t>
  </si>
  <si>
    <t xml:space="preserve">River corridor, existing villages to integrate, flood management</t>
  </si>
  <si>
    <t xml:space="preserve">2024-07-29</t>
  </si>
  <si>
    <t xml:space="preserve">P13</t>
  </si>
  <si>
    <t xml:space="preserve">SOG-DXB-2025-033</t>
  </si>
  <si>
    <t xml:space="preserve">Arabian Sea Towers - twin residential towers, Mumbai</t>
  </si>
  <si>
    <t xml:space="preserve">Arabian Sea Realty Pvt Ltd</t>
  </si>
  <si>
    <t xml:space="preserve">India</t>
  </si>
  <si>
    <t xml:space="preserve">Mumbai</t>
  </si>
  <si>
    <t xml:space="preserve">Coastal regulation zone, tight plot, parking podium</t>
  </si>
  <si>
    <t xml:space="preserve">2025-09-10</t>
  </si>
  <si>
    <t xml:space="preserve">INR</t>
  </si>
  <si>
    <t xml:space="preserve">Fee too high relative to local market</t>
  </si>
  <si>
    <t xml:space="preserve">sqft</t>
  </si>
  <si>
    <t xml:space="preserve">P14</t>
  </si>
  <si>
    <t xml:space="preserve">SOG-DXB-2026-006</t>
  </si>
  <si>
    <t xml:space="preserve">Bay Square Offices - mid-rise office building</t>
  </si>
  <si>
    <t xml:space="preserve">Regular plot in established business district</t>
  </si>
  <si>
    <t xml:space="preserve">2026-03-04</t>
  </si>
  <si>
    <t xml:space="preserve">Line</t>
  </si>
  <si>
    <t xml:space="preserve">Service</t>
  </si>
  <si>
    <t xml:space="preserve">Stage</t>
  </si>
  <si>
    <t xml:space="preserve">Basis</t>
  </si>
  <si>
    <t xml:space="preserve">Basis qty</t>
  </si>
  <si>
    <t xml:space="preserve">Basis unit</t>
  </si>
  <si>
    <t xml:space="preserve">Amount (local)</t>
  </si>
  <si>
    <t xml:space="preserve">Amount (USD)</t>
  </si>
  <si>
    <t xml:space="preserve">concept</t>
  </si>
  <si>
    <t xml:space="preserve">pct_of_construction_cost</t>
  </si>
  <si>
    <t xml:space="preserve">m2 GFA</t>
  </si>
  <si>
    <t xml:space="preserve">schematic_design</t>
  </si>
  <si>
    <t xml:space="preserve">design_development</t>
  </si>
  <si>
    <t xml:space="preserve">interior_design</t>
  </si>
  <si>
    <t xml:space="preserve">pct_of_fitout_cost</t>
  </si>
  <si>
    <t xml:space="preserve">m2 fit-out</t>
  </si>
  <si>
    <t xml:space="preserve">gfc_review</t>
  </si>
  <si>
    <t xml:space="preserve">landscape</t>
  </si>
  <si>
    <t xml:space="preserve">pct_of_landscape_cost</t>
  </si>
  <si>
    <t xml:space="preserve">m2 landscape</t>
  </si>
  <si>
    <t xml:space="preserve">per_hectare</t>
  </si>
  <si>
    <t xml:space="preserve">ha</t>
  </si>
  <si>
    <t xml:space="preserve">feasibility</t>
  </si>
  <si>
    <t xml:space="preserve">construction_review</t>
  </si>
  <si>
    <t xml:space="preserve">Type</t>
  </si>
  <si>
    <t xml:space="preserve">Qty</t>
  </si>
  <si>
    <t xml:space="preserve">Unit rate (local)</t>
  </si>
  <si>
    <t xml:space="preserve">Note</t>
  </si>
  <si>
    <t xml:space="preserve">renders</t>
  </si>
  <si>
    <t xml:space="preserve">Marketing-quality still images</t>
  </si>
  <si>
    <t xml:space="preserve">site_trip</t>
  </si>
  <si>
    <t xml:space="preserve">regional trip, 2 staff, flights, hotel, per diem</t>
  </si>
  <si>
    <t xml:space="preserve">long haul trip, 2 staff, flights, hotel, per diem</t>
  </si>
  <si>
    <t xml:space="preserve">Seq</t>
  </si>
  <si>
    <t xml:space="preserve">Milestone</t>
  </si>
  <si>
    <t xml:space="preserve">Share of fee</t>
  </si>
  <si>
    <t xml:space="preserve">Advance on signing</t>
  </si>
  <si>
    <t xml:space="preserve">On approval of Concept Design</t>
  </si>
  <si>
    <t xml:space="preserve">On approval of Schematic Design</t>
  </si>
  <si>
    <t xml:space="preserve">On approval of Design Development</t>
  </si>
  <si>
    <t xml:space="preserve">On approval of GFC Review</t>
  </si>
  <si>
    <t xml:space="preserve">On approval of Feasibility</t>
  </si>
  <si>
    <t xml:space="preserve">On approval of Construction Review</t>
  </si>
  <si>
    <t xml:space="preserve">Item</t>
  </si>
  <si>
    <t xml:space="preserve">Design report and drawings per stage</t>
  </si>
  <si>
    <t xml:space="preserve">Rendered images</t>
  </si>
  <si>
    <t xml:space="preserve">Client presentations</t>
  </si>
  <si>
    <t xml:space="preserve">Masterplan framework report</t>
  </si>
  <si>
    <t xml:space="preserve">Clause</t>
  </si>
  <si>
    <t xml:space="preserve">Client request</t>
  </si>
  <si>
    <t xml:space="preserve">SOG position</t>
  </si>
  <si>
    <t xml:space="preserve">Design rounds</t>
  </si>
  <si>
    <t xml:space="preserve">Unlimited revisions at concept</t>
  </si>
  <si>
    <t xml:space="preserve">Two rounds included per stage</t>
  </si>
  <si>
    <t xml:space="preserve">Liability cap</t>
  </si>
  <si>
    <t xml:space="preserve">Uncapped liability</t>
  </si>
  <si>
    <t xml:space="preserve">Cap at 100% of fee</t>
  </si>
  <si>
    <t xml:space="preserve">Payment terms</t>
  </si>
  <si>
    <t xml:space="preserve">90 days from invoice</t>
  </si>
  <si>
    <t xml:space="preserve">30 days from invoice</t>
  </si>
  <si>
    <t xml:space="preserve">Factor</t>
  </si>
  <si>
    <t xml:space="preserve">Value</t>
  </si>
  <si>
    <t xml:space="preserve">Source</t>
  </si>
  <si>
    <t xml:space="preserve">construction_cost_usd_m2</t>
  </si>
  <si>
    <t xml:space="preserve">1426.0</t>
  </si>
  <si>
    <t xml:space="preserve">TT_UAE_2025</t>
  </si>
  <si>
    <t xml:space="preserve">direct asset-type benchmark; escalated at 5.0% p.a. from 2025 to 2024</t>
  </si>
  <si>
    <t xml:space="preserve">architecture_full_service_pct</t>
  </si>
  <si>
    <t xml:space="preserve">3.426</t>
  </si>
  <si>
    <t xml:space="preserve">assumption</t>
  </si>
  <si>
    <t xml:space="preserve">base 3.5% x scale x market factor 1.0</t>
  </si>
  <si>
    <t xml:space="preserve">modifiers</t>
  </si>
  <si>
    <t xml:space="preserve">0.95</t>
  </si>
  <si>
    <t xml:space="preserve">{"location_tier": 1.0, "client_status": 0.95, "complexity": 1.0}</t>
  </si>
  <si>
    <t xml:space="preserve">interior_fitout_cost_usd_m2</t>
  </si>
  <si>
    <t xml:space="preserve">428</t>
  </si>
  <si>
    <t xml:space="preserve">0.3 x building cost</t>
  </si>
  <si>
    <t xml:space="preserve">quote_variation</t>
  </si>
  <si>
    <t xml:space="preserve">1.004</t>
  </si>
  <si>
    <t xml:space="preserve">lognormal noise</t>
  </si>
  <si>
    <t xml:space="preserve">lost_bid_premium</t>
  </si>
  <si>
    <t xml:space="preserve">1.0</t>
  </si>
  <si>
    <t xml:space="preserve">applied to lost bids only</t>
  </si>
  <si>
    <t xml:space="preserve">2778.0</t>
  </si>
  <si>
    <t xml:space="preserve">city average x typology ratio 1.484 (ratio from Dubai asset costs); escalated at 5.0% p.a. from 2025 to 2025</t>
  </si>
  <si>
    <t xml:space="preserve">4.625</t>
  </si>
  <si>
    <t xml:space="preserve">base 4.5% x scale x market factor 1.0</t>
  </si>
  <si>
    <t xml:space="preserve">1.03</t>
  </si>
  <si>
    <t xml:space="preserve">{"location_tier": 0.92, "client_status": 1.0, "complexity": 1.12}</t>
  </si>
  <si>
    <t xml:space="preserve">1250</t>
  </si>
  <si>
    <t xml:space="preserve">0.45 x building cost</t>
  </si>
  <si>
    <t xml:space="preserve">landscape_cost_usd_m2</t>
  </si>
  <si>
    <t xml:space="preserve">180</t>
  </si>
  <si>
    <t xml:space="preserve">by market cost band</t>
  </si>
  <si>
    <t xml:space="preserve">1.058</t>
  </si>
  <si>
    <t xml:space="preserve">2670.0</t>
  </si>
  <si>
    <t xml:space="preserve">TT_ME_2025</t>
  </si>
  <si>
    <t xml:space="preserve">city average x typology ratio 0.858 (ratio from Dubai asset costs); escalated at 5.0% p.a. from 2025 to 2025</t>
  </si>
  <si>
    <t xml:space="preserve">3.147</t>
  </si>
  <si>
    <t xml:space="preserve">{"location_tier": 1.0, "client_status": 1.0, "complexity": 1.0}</t>
  </si>
  <si>
    <t xml:space="preserve">0.911</t>
  </si>
  <si>
    <t xml:space="preserve">1.131</t>
  </si>
  <si>
    <t xml:space="preserve">1453.0</t>
  </si>
  <si>
    <t xml:space="preserve">city average x typology ratio 0.856 (ratio from Dubai asset costs); escalated at 5.0% p.a. from 2025 to 2023</t>
  </si>
  <si>
    <t xml:space="preserve">6.025</t>
  </si>
  <si>
    <t xml:space="preserve">base 6.0% x scale x market factor 1.0</t>
  </si>
  <si>
    <t xml:space="preserve">0.83</t>
  </si>
  <si>
    <t xml:space="preserve">{"location_tier": 0.92, "client_status": 0.95, "complexity": 0.95}</t>
  </si>
  <si>
    <t xml:space="preserve">masterplan_area_ha</t>
  </si>
  <si>
    <t xml:space="preserve">32.0</t>
  </si>
  <si>
    <t xml:space="preserve">rate per ha, tapered above 50 ha</t>
  </si>
  <si>
    <t xml:space="preserve">0.983</t>
  </si>
  <si>
    <t xml:space="preserve">1864.0</t>
  </si>
  <si>
    <t xml:space="preserve">WPR_2026</t>
  </si>
  <si>
    <t xml:space="preserve">city average x typology ratio 0.877 (ratio from Dubai asset costs); escalated at 3.8% p.a. from 2025 to 2024</t>
  </si>
  <si>
    <t xml:space="preserve">3.645</t>
  </si>
  <si>
    <t xml:space="preserve">base 3.0% x scale x market factor 1.1</t>
  </si>
  <si>
    <t xml:space="preserve">1.12</t>
  </si>
  <si>
    <t xml:space="preserve">{"location_tier": 1.0, "client_status": 1.0, "complexity": 1.12}</t>
  </si>
  <si>
    <t xml:space="preserve">373</t>
  </si>
  <si>
    <t xml:space="preserve">0.2 x building cost</t>
  </si>
  <si>
    <t xml:space="preserve">1.009</t>
  </si>
  <si>
    <t xml:space="preserve">1.112</t>
  </si>
  <si>
    <t xml:space="preserve">3274.0</t>
  </si>
  <si>
    <t xml:space="preserve">city average x typology ratio 1.484 (ratio from Dubai asset costs); escalated at 3.8% p.a. from 2025 to 2025</t>
  </si>
  <si>
    <t xml:space="preserve">5.826</t>
  </si>
  <si>
    <t xml:space="preserve">base 4.5% x scale x market factor 1.1</t>
  </si>
  <si>
    <t xml:space="preserve">0.874</t>
  </si>
  <si>
    <t xml:space="preserve">{"location_tier": 0.92, "client_status": 0.95, "complexity": 1.0}</t>
  </si>
  <si>
    <t xml:space="preserve">1473</t>
  </si>
  <si>
    <t xml:space="preserve">0.971</t>
  </si>
  <si>
    <t xml:space="preserve">2623.0</t>
  </si>
  <si>
    <t xml:space="preserve">TT_ASIA_2025</t>
  </si>
  <si>
    <t xml:space="preserve">2.885</t>
  </si>
  <si>
    <t xml:space="preserve">base 3.0% x scale x market factor 1.0</t>
  </si>
  <si>
    <t xml:space="preserve">1.001</t>
  </si>
  <si>
    <t xml:space="preserve">2415.0</t>
  </si>
  <si>
    <t xml:space="preserve">city average x typology ratio 0.778 (ratio from Dubai asset costs); escalated at 3.8% p.a. from 2025 to 2025</t>
  </si>
  <si>
    <t xml:space="preserve">3.57</t>
  </si>
  <si>
    <t xml:space="preserve">724</t>
  </si>
  <si>
    <t xml:space="preserve">0.976</t>
  </si>
  <si>
    <t xml:space="preserve">965.0</t>
  </si>
  <si>
    <t xml:space="preserve">city average x typology ratio 0.858 (ratio from Dubai asset costs); escalated at 3.8% p.a. from 2025 to 2024</t>
  </si>
  <si>
    <t xml:space="preserve">4.918</t>
  </si>
  <si>
    <t xml:space="preserve">base 3.5% x scale x market factor 1.5</t>
  </si>
  <si>
    <t xml:space="preserve">290</t>
  </si>
  <si>
    <t xml:space="preserve">90</t>
  </si>
  <si>
    <t xml:space="preserve">1.087</t>
  </si>
  <si>
    <t xml:space="preserve">1767.0</t>
  </si>
  <si>
    <t xml:space="preserve">city average x typology ratio 1.484 (ratio from Dubai asset costs); escalated at 3.8% p.a. from 2025 to 2026</t>
  </si>
  <si>
    <t xml:space="preserve">7.206</t>
  </si>
  <si>
    <t xml:space="preserve">base 4.5% x scale x market factor 1.5</t>
  </si>
  <si>
    <t xml:space="preserve">795</t>
  </si>
  <si>
    <t xml:space="preserve">14.0</t>
  </si>
  <si>
    <t xml:space="preserve">1.1</t>
  </si>
  <si>
    <t xml:space="preserve">808.0</t>
  </si>
  <si>
    <t xml:space="preserve">TT_CN_2025</t>
  </si>
  <si>
    <t xml:space="preserve">city average x typology ratio 0.877 (ratio from Dubai asset costs); escalated at 1.0% p.a. from 2025 to 2023</t>
  </si>
  <si>
    <t xml:space="preserve">4.111</t>
  </si>
  <si>
    <t xml:space="preserve">base 3.0% x scale x market factor 1.45</t>
  </si>
  <si>
    <t xml:space="preserve">0.96</t>
  </si>
  <si>
    <t xml:space="preserve">1.115</t>
  </si>
  <si>
    <t xml:space="preserve">120.0</t>
  </si>
  <si>
    <t xml:space="preserve">1.01</t>
  </si>
  <si>
    <t xml:space="preserve">562.0</t>
  </si>
  <si>
    <t xml:space="preserve">5.014</t>
  </si>
  <si>
    <t xml:space="preserve">base 3.5% x scale x market factor 1.55</t>
  </si>
  <si>
    <t xml:space="preserve">169</t>
  </si>
  <si>
    <t xml:space="preserve">1.035</t>
  </si>
  <si>
    <t xml:space="preserve">1773.0</t>
  </si>
  <si>
    <t xml:space="preserve">direct asset-type benchmark; escalated at 5.0% p.a. from 2025 to 2026</t>
  </si>
  <si>
    <t xml:space="preserve">3.191</t>
  </si>
  <si>
    <t xml:space="preserve">0.902</t>
  </si>
  <si>
    <t xml:space="preserve">{"location_tier": 1.0, "client_status": 0.95, "complexity": 0.95}</t>
  </si>
  <si>
    <t xml:space="preserve">355</t>
  </si>
  <si>
    <t xml:space="preserve">0.97</t>
  </si>
  <si>
    <t xml:space="preserve">Market</t>
  </si>
  <si>
    <t xml:space="preserve">Metric</t>
  </si>
  <si>
    <t xml:space="preserve">Unit</t>
  </si>
  <si>
    <t xml:space="preserve">Year</t>
  </si>
  <si>
    <t xml:space="preserve">URL</t>
  </si>
  <si>
    <t xml:space="preserve">Average construction cost, 6 building types</t>
  </si>
  <si>
    <t xml:space="preserve">USD/m2</t>
  </si>
  <si>
    <t xml:space="preserve">Turner &amp; Townsend, UAE Market Intelligence 2025 - Construction cost performance</t>
  </si>
  <si>
    <t xml:space="preserve">https://marketintelligence.turnerandtownsend.com/uaemi-2025/construction-cost-performance</t>
  </si>
  <si>
    <t xml:space="preserve">Residential - apartments high rise</t>
  </si>
  <si>
    <t xml:space="preserve">AED/m2</t>
  </si>
  <si>
    <t xml:space="preserve">Commercial - CBD offices up to 20 floors (A-grade)</t>
  </si>
  <si>
    <t xml:space="preserve">Hotels - 5 star luxury</t>
  </si>
  <si>
    <t xml:space="preserve">Hotels - 3 star travellers</t>
  </si>
  <si>
    <t xml:space="preserve">Construction cost inflation 2025 / 2026</t>
  </si>
  <si>
    <t xml:space="preserve">% p.a.</t>
  </si>
  <si>
    <t xml:space="preserve">4.0% forecast for 2026</t>
  </si>
  <si>
    <t xml:space="preserve">Abu Dhabi</t>
  </si>
  <si>
    <t xml:space="preserve">Average construction cost</t>
  </si>
  <si>
    <t xml:space="preserve">Turner &amp; Townsend, Global Construction Market Intelligence 2025 - Middle East</t>
  </si>
  <si>
    <t xml:space="preserve">https://publications.turnerandtownsend.com/global-construction-market-intelligence-2025/middle-east</t>
  </si>
  <si>
    <t xml:space="preserve">SAR/m2</t>
  </si>
  <si>
    <t xml:space="preserve">Turner &amp; Townsend, KSA Market Intelligence 2025 - Construction cost performance</t>
  </si>
  <si>
    <t xml:space="preserve">https://marketintelligence.turnerandtownsend.com/ksami-2025/construction-cost-performance</t>
  </si>
  <si>
    <t xml:space="preserve">Turner &amp; Townsend, Global Construction Market Intelligence 2025 - Asia</t>
  </si>
  <si>
    <t xml:space="preserve">https://publications.turnerandtownsend.com/global-construction-market-intelligence-2025/asia</t>
  </si>
  <si>
    <t xml:space="preserve">Hanoi</t>
  </si>
  <si>
    <t xml:space="preserve">China (national)</t>
  </si>
  <si>
    <t xml:space="preserve">Turner &amp; Townsend, China's construction market: value in the face of volatility</t>
  </si>
  <si>
    <t xml:space="preserve">https://www.turnerandtownsend.com/insights/chinas-construction-market-value-in-the-face-of-volatility/</t>
  </si>
  <si>
    <t xml:space="preserve">Construction cost escalation ~1.0% in 2025</t>
  </si>
  <si>
    <t xml:space="preserve">World Population Review, Construction Cost Index by Country 2026 (citing Turner &amp; Townsend)</t>
  </si>
  <si>
    <t xml:space="preserve">https://worldpopulationreview.com/country-rankings/construction-cost-index-by-country</t>
  </si>
  <si>
    <t xml:space="preserve">Secondary source citing Turner &amp; Townsend</t>
  </si>
  <si>
    <t xml:space="preserve">Madrid</t>
  </si>
  <si>
    <t xml:space="preserve">Average construction cost (proxy for Barcelona)</t>
  </si>
  <si>
    <t xml:space="preserve">Global</t>
  </si>
  <si>
    <t xml:space="preserve">Construction cost inflation forecast</t>
  </si>
  <si>
    <t xml:space="preserve">Turner &amp; Townsend press release, GCMI 2025</t>
  </si>
  <si>
    <t xml:space="preserve">https://www.turnerandtownsend.com/news/us-cities-most-expensive-places-to-build-globally/</t>
  </si>
  <si>
    <t xml:space="preserve">Architectural fee range, percentage of construction cost</t>
  </si>
  <si>
    <t xml:space="preserve">2-8</t>
  </si>
  <si>
    <t xml:space="preserve">%</t>
  </si>
  <si>
    <t xml:space="preserve">Al Mujassam, Architecture Design Fees Dubai (2026) Explained</t>
  </si>
  <si>
    <t xml:space="preserve">https://almujassam.ae/architecture-design-fees-dubai/</t>
  </si>
  <si>
    <t xml:space="preserve">Commercial projects often 2-4%</t>
  </si>
  <si>
    <t xml:space="preserve">Stage split: RIBA 0-3 / 4 / 5-6</t>
  </si>
  <si>
    <t xml:space="preserve">35/35/30</t>
  </si>
  <si>
    <t xml:space="preserve">% of fee</t>
  </si>
  <si>
    <t xml:space="preserve">Real Estate Club Dubai, Architecture &amp; Engineering Firms in Dubai 2026 (fee breakdown)</t>
  </si>
  <si>
    <t xml:space="preserve">https://realestateclubdubai.com/blog/property-management/best-architecture-engineering-firms-dubai-2026-compared</t>
  </si>
  <si>
    <t xml:space="preserve">Villa fee split: concept design</t>
  </si>
  <si>
    <t xml:space="preserve">Interior design fee, luxury studios</t>
  </si>
  <si>
    <t xml:space="preserve">10-20</t>
  </si>
  <si>
    <t xml:space="preserve">% of fit-out cost</t>
  </si>
  <si>
    <t xml:space="preserve">Kat Black Design Studio, Interior design cost in Dubai 2026</t>
  </si>
  <si>
    <t xml:space="preserve">https://katblackuae.com/insights/how-much-does-interior-design-cost-in-dubai-2026-complete-guide/</t>
  </si>
  <si>
    <t xml:space="preserve">Landscape design fee, multi-family / mixed-use</t>
  </si>
  <si>
    <t xml:space="preserve">7-12</t>
  </si>
  <si>
    <t xml:space="preserve">% of landscape construction</t>
  </si>
  <si>
    <t xml:space="preserve">Place Landscape Architecture, Landscape architect cost guide 2026</t>
  </si>
  <si>
    <t xml:space="preserve">https://www.place-la.com/post/how-much-does-a-landscape-architect-cost-a-pacific-northwest-pricing-guide-for-2026</t>
  </si>
  <si>
    <t xml:space="preserve">Parameter</t>
  </si>
  <si>
    <t xml:space="preserve">Rationale</t>
  </si>
  <si>
    <t xml:space="preserve">full_service_fee_pct.residential_highrise</t>
  </si>
  <si>
    <t xml:space="preserve">% of construction cost</t>
  </si>
  <si>
    <t xml:space="preserve">Within cited Dubai 2-8% range; large commercial-scale projects sit at the low end</t>
  </si>
  <si>
    <t xml:space="preserve">full_service_fee_pct.residential_villa</t>
  </si>
  <si>
    <t xml:space="preserve">Cited villa range 5-8%</t>
  </si>
  <si>
    <t xml:space="preserve">full_service_fee_pct.office</t>
  </si>
  <si>
    <t xml:space="preserve">Cited commercial 2-4%</t>
  </si>
  <si>
    <t xml:space="preserve">full_service_fee_pct.mixed_use</t>
  </si>
  <si>
    <t xml:space="preserve">Between residential and office</t>
  </si>
  <si>
    <t xml:space="preserve">full_service_fee_pct.hospitality</t>
  </si>
  <si>
    <t xml:space="preserve">Higher design intensity than residential</t>
  </si>
  <si>
    <t xml:space="preserve">scale_exponent</t>
  </si>
  <si>
    <t xml:space="preserve">fee % x (GFA/50,000)^exp</t>
  </si>
  <si>
    <t xml:space="preserve">Fee % falls as projects grow</t>
  </si>
  <si>
    <t xml:space="preserve">market_pct_factor.UAE</t>
  </si>
  <si>
    <t xml:space="preserve">multiplier</t>
  </si>
  <si>
    <t xml:space="preserve">Reference market</t>
  </si>
  <si>
    <t xml:space="preserve">market_pct_factor.KSA</t>
  </si>
  <si>
    <t xml:space="preserve">market_pct_factor.Spain</t>
  </si>
  <si>
    <t xml:space="preserve">European design fees typically a higher % of cost</t>
  </si>
  <si>
    <t xml:space="preserve">market_pct_factor.Singapore</t>
  </si>
  <si>
    <t xml:space="preserve">market_pct_factor.Vietnam</t>
  </si>
  <si>
    <t xml:space="preserve">International design-led firm premium in low construction-cost markets</t>
  </si>
  <si>
    <t xml:space="preserve">market_pct_factor.China</t>
  </si>
  <si>
    <t xml:space="preserve">As above</t>
  </si>
  <si>
    <t xml:space="preserve">market_pct_factor.India</t>
  </si>
  <si>
    <t xml:space="preserve">stage_share.feasibility</t>
  </si>
  <si>
    <t xml:space="preserve">share of full-service fee</t>
  </si>
  <si>
    <t xml:space="preserve">Informed by cited RIBA 0-3 = 35% split</t>
  </si>
  <si>
    <t xml:space="preserve">stage_share.concept</t>
  </si>
  <si>
    <t xml:space="preserve">Cited villa concept 15-20%</t>
  </si>
  <si>
    <t xml:space="preserve">stage_share.schematic_design</t>
  </si>
  <si>
    <t xml:space="preserve">stage_share.design_development</t>
  </si>
  <si>
    <t xml:space="preserve">stage_share.gfc_review</t>
  </si>
  <si>
    <t xml:space="preserve">Review of local architect-of-record GFC drawings</t>
  </si>
  <si>
    <t xml:space="preserve">stage_share.construction_review</t>
  </si>
  <si>
    <t xml:space="preserve">Periodic design-intent reviews, not supervision</t>
  </si>
  <si>
    <t xml:space="preserve">modifier.location_tier.second</t>
  </si>
  <si>
    <t xml:space="preserve">SOG 01.jpg: prime vs second-tier city</t>
  </si>
  <si>
    <t xml:space="preserve">modifier.client.repeat</t>
  </si>
  <si>
    <t xml:space="preserve">SOG 01.jpg: customer status</t>
  </si>
  <si>
    <t xml:space="preserve">modifier.complexity.low</t>
  </si>
  <si>
    <t xml:space="preserve">SOG 01.jpg: site complexity</t>
  </si>
  <si>
    <t xml:space="preserve">modifier.complexity.high</t>
  </si>
  <si>
    <t xml:space="preserve">interior.fitout_cost_ratio.hospitality</t>
  </si>
  <si>
    <t xml:space="preserve">of building cost/m2</t>
  </si>
  <si>
    <t xml:space="preserve">FF&amp;E and fit-out share</t>
  </si>
  <si>
    <t xml:space="preserve">interior.fitout_cost_ratio.residential</t>
  </si>
  <si>
    <t xml:space="preserve">Amenities and show units</t>
  </si>
  <si>
    <t xml:space="preserve">interior.fitout_cost_ratio.office</t>
  </si>
  <si>
    <t xml:space="preserve">Cat B fit-out</t>
  </si>
  <si>
    <t xml:space="preserve">interior.fee_pct</t>
  </si>
  <si>
    <t xml:space="preserve">Below cited luxury studio 10-20%, as large-scale work</t>
  </si>
  <si>
    <t xml:space="preserve">interior.stage_share_to_dd</t>
  </si>
  <si>
    <t xml:space="preserve">share of interior fee</t>
  </si>
  <si>
    <t xml:space="preserve">Concept + SD + DD</t>
  </si>
  <si>
    <t xml:space="preserve">landscape.cost_per_m2.high_cost</t>
  </si>
  <si>
    <t xml:space="preserve">UAE, KSA, Singapore, Spain</t>
  </si>
  <si>
    <t xml:space="preserve">landscape.cost_per_m2.low_cost</t>
  </si>
  <si>
    <t xml:space="preserve">Vietnam, China, India</t>
  </si>
  <si>
    <t xml:space="preserve">landscape.fee_pct</t>
  </si>
  <si>
    <t xml:space="preserve">Cited 7-12% for multi-family / mixed-use</t>
  </si>
  <si>
    <t xml:space="preserve">landscape.stage_share_to_dd</t>
  </si>
  <si>
    <t xml:space="preserve">share of landscape fee</t>
  </si>
  <si>
    <t xml:space="preserve">masterplan.rate_per_ha</t>
  </si>
  <si>
    <t xml:space="preserve">USD/ha (first 50 ha)</t>
  </si>
  <si>
    <t xml:space="preserve">No reliable public benchmark found; calibrate with SOG</t>
  </si>
  <si>
    <t xml:space="preserve">masterplan.rate_per_ha_above_50</t>
  </si>
  <si>
    <t xml:space="preserve">USD/ha (above 50 ha)</t>
  </si>
  <si>
    <t xml:space="preserve">render.unit_price.high_cost</t>
  </si>
  <si>
    <t xml:space="preserve">USD per render</t>
  </si>
  <si>
    <t xml:space="preserve">render.unit_price.low_cost</t>
  </si>
  <si>
    <t xml:space="preserve">trip.regional</t>
  </si>
  <si>
    <t xml:space="preserve">USD per trip</t>
  </si>
  <si>
    <t xml:space="preserve">Flights, hotel, per diem, 2 staff</t>
  </si>
  <si>
    <t xml:space="preserve">trip.long_haul</t>
  </si>
  <si>
    <t xml:space="preserve">lognormal sd 0.06</t>
  </si>
  <si>
    <t xml:space="preserve">Real quotes vary around the model</t>
  </si>
  <si>
    <t xml:space="preserve">1.10-1.18</t>
  </si>
  <si>
    <t xml:space="preserve">Synthetic lost bids priced above model</t>
  </si>
  <si>
    <t xml:space="preserve">Client ID</t>
  </si>
  <si>
    <t xml:space="preserve">Name (fictitious)</t>
  </si>
  <si>
    <t xml:space="preserve">C01</t>
  </si>
  <si>
    <t xml:space="preserve">Private developer</t>
  </si>
  <si>
    <t xml:space="preserve">C02</t>
  </si>
  <si>
    <t xml:space="preserve">Hotel owner</t>
  </si>
  <si>
    <t xml:space="preserve">C03</t>
  </si>
  <si>
    <t xml:space="preserve">C04</t>
  </si>
  <si>
    <t xml:space="preserve">C05</t>
  </si>
  <si>
    <t xml:space="preserve">Investor</t>
  </si>
  <si>
    <t xml:space="preserve">C06</t>
  </si>
  <si>
    <t xml:space="preserve">C07</t>
  </si>
  <si>
    <t xml:space="preserve">REIT</t>
  </si>
  <si>
    <t xml:space="preserve">C08</t>
  </si>
  <si>
    <t xml:space="preserve">C09</t>
  </si>
  <si>
    <t xml:space="preserve">C10</t>
  </si>
  <si>
    <t xml:space="preserve">C11</t>
  </si>
  <si>
    <t xml:space="preserve">Corporate occupier</t>
  </si>
  <si>
    <t xml:space="preserve">C12</t>
  </si>
  <si>
    <t xml:space="preserve">Government-linked developer</t>
  </si>
  <si>
    <t xml:space="preserve">C13</t>
  </si>
  <si>
    <t xml:space="preserve">Code</t>
  </si>
  <si>
    <t xml:space="preserve">DXB</t>
  </si>
  <si>
    <t xml:space="preserve">BCN</t>
  </si>
  <si>
    <t xml:space="preserve">SIN</t>
  </si>
  <si>
    <t xml:space="preserve">SGN</t>
  </si>
  <si>
    <t xml:space="preserve">CAN</t>
  </si>
  <si>
    <t xml:space="preserve">Units per USD</t>
  </si>
  <si>
    <t xml:space="preserve">Base currency</t>
  </si>
  <si>
    <t xml:space="preserve">Official USD peg</t>
  </si>
  <si>
    <t xml:space="preserve">Illustrative rate - replace with dated rates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</si>
</sst>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FAEED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E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30"/>
    <col collapsed="false" customWidth="true" hidden="false" outlineLevel="0" max="13" min="13" style="0" width="40"/>
    <col collapsed="false" customWidth="true" hidden="false" outlineLevel="0" max="14" min="14" style="0" width="10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19" min="18" style="0" width="7"/>
    <col collapsed="false" customWidth="true" hidden="false" outlineLevel="0" max="20" min="20" style="0" width="10"/>
    <col collapsed="false" customWidth="true" hidden="false" outlineLevel="0" max="21" min="21" style="0" width="40"/>
    <col collapsed="false" customWidth="true" hidden="false" outlineLevel="0" max="22" min="22" style="0" width="12"/>
    <col collapsed="false" customWidth="true" hidden="false" outlineLevel="0" max="23" min="23" style="0" width="9"/>
    <col collapsed="false" customWidth="true" hidden="false" outlineLevel="0" max="24" min="24" style="0" width="14"/>
    <col collapsed="false" customWidth="true" hidden="false" outlineLevel="0" max="25" min="25" style="0" width="15"/>
    <col collapsed="false" customWidth="true" hidden="false" outlineLevel="0" max="26" min="26" style="0" width="14"/>
    <col collapsed="false" customWidth="true" hidden="false" outlineLevel="0" max="27" min="27" style="0" width="12"/>
    <col collapsed="false" customWidth="true" hidden="false" outlineLevel="0" max="28" min="28" style="0" width="14"/>
    <col collapsed="false" customWidth="true" hidden="false" outlineLevel="0" max="29" min="29" style="0" width="10"/>
    <col collapsed="false" customWidth="true" hidden="false" outlineLevel="0" max="30" min="30" style="0" width="34"/>
    <col collapsed="false" customWidth="true" hidden="false" outlineLevel="0" max="31" min="31" style="0" width="40"/>
    <col collapsed="false" customWidth="true" hidden="false" outlineLevel="0" max="32" min="32" style="0" width="10"/>
    <col collapsed="false" customWidth="true" hidden="false" outlineLevel="0" max="33" min="33" style="0" width="34"/>
  </cols>
  <sheetData>
    <row r="1" customFormat="false" ht="35.05" hidden="false" customHeight="false" outlineLevel="0" collapsed="false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38</v>
      </c>
      <c r="X1" s="4" t="s">
        <v>39</v>
      </c>
      <c r="Y1" s="4" t="s">
        <v>40</v>
      </c>
      <c r="Z1" s="4" t="s">
        <v>41</v>
      </c>
      <c r="AA1" s="4" t="s">
        <v>42</v>
      </c>
      <c r="AB1" s="4" t="s">
        <v>43</v>
      </c>
      <c r="AC1" s="4" t="s">
        <v>44</v>
      </c>
      <c r="AD1" s="4" t="s">
        <v>45</v>
      </c>
      <c r="AE1" s="4" t="s">
        <v>46</v>
      </c>
      <c r="AF1" s="4" t="s">
        <v>47</v>
      </c>
      <c r="AG1" s="4" t="s">
        <v>48</v>
      </c>
    </row>
    <row r="2" customFormat="false" ht="23.85" hidden="false" customHeight="false" outlineLevel="0" collapsed="false">
      <c r="A2" s="5" t="s">
        <v>49</v>
      </c>
      <c r="B2" s="5" t="s">
        <v>50</v>
      </c>
      <c r="C2" s="6" t="s">
        <v>51</v>
      </c>
      <c r="D2" s="7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6" t="s">
        <v>61</v>
      </c>
      <c r="N2" s="8" t="n">
        <v>62000</v>
      </c>
      <c r="O2" s="8" t="n">
        <v>4800</v>
      </c>
      <c r="P2" s="8" t="n">
        <v>0</v>
      </c>
      <c r="Q2" s="8" t="n">
        <v>5200</v>
      </c>
      <c r="R2" s="5" t="n">
        <v>410</v>
      </c>
      <c r="S2" s="5"/>
      <c r="T2" s="5" t="s">
        <v>62</v>
      </c>
      <c r="U2" s="6" t="s">
        <v>63</v>
      </c>
      <c r="V2" s="5" t="s">
        <v>64</v>
      </c>
      <c r="W2" s="5" t="s">
        <v>65</v>
      </c>
      <c r="X2" s="8" t="n">
        <v>1426</v>
      </c>
      <c r="Y2" s="9" t="n">
        <f aca="false">SUMIFS(Fee_Lines!$I$2:$I$89,Fee_Lines!$A$2:$A$89,A2)</f>
        <v>5725000</v>
      </c>
      <c r="Z2" s="9" t="n">
        <f aca="false">Y2/INDEX(FX!$B$2:$B$8,MATCH(W2,FX!$A$2:$A$8,0))</f>
        <v>1558883.59428182</v>
      </c>
      <c r="AA2" s="10" t="n">
        <f aca="false">IF(N2&gt;0,Z2/N2,"n/a")</f>
        <v>25.1432837787391</v>
      </c>
      <c r="AB2" s="9" t="n">
        <f aca="false">SUMIFS(Reimbursables!$F$2:$F$23,Reimbursables!$A$2:$A$23,A2)</f>
        <v>127000</v>
      </c>
      <c r="AC2" s="11" t="s">
        <v>66</v>
      </c>
      <c r="AD2" s="11"/>
      <c r="AE2" s="11"/>
      <c r="AF2" s="11" t="s">
        <v>67</v>
      </c>
      <c r="AG2" s="11" t="s">
        <v>68</v>
      </c>
    </row>
    <row r="3" customFormat="false" ht="23.85" hidden="false" customHeight="false" outlineLevel="0" collapsed="false">
      <c r="A3" s="5" t="s">
        <v>69</v>
      </c>
      <c r="B3" s="5" t="s">
        <v>70</v>
      </c>
      <c r="C3" s="6" t="s">
        <v>71</v>
      </c>
      <c r="D3" s="7" t="s">
        <v>52</v>
      </c>
      <c r="E3" s="5" t="s">
        <v>53</v>
      </c>
      <c r="F3" s="5" t="s">
        <v>72</v>
      </c>
      <c r="G3" s="5" t="s">
        <v>73</v>
      </c>
      <c r="H3" s="5" t="s">
        <v>56</v>
      </c>
      <c r="I3" s="5" t="s">
        <v>74</v>
      </c>
      <c r="J3" s="5" t="s">
        <v>75</v>
      </c>
      <c r="K3" s="5" t="s">
        <v>76</v>
      </c>
      <c r="L3" s="5" t="s">
        <v>77</v>
      </c>
      <c r="M3" s="6" t="s">
        <v>78</v>
      </c>
      <c r="N3" s="8" t="n">
        <v>38000</v>
      </c>
      <c r="O3" s="8" t="n">
        <v>62000</v>
      </c>
      <c r="P3" s="8" t="n">
        <v>41000</v>
      </c>
      <c r="Q3" s="8" t="n">
        <v>21000</v>
      </c>
      <c r="R3" s="5"/>
      <c r="S3" s="5" t="n">
        <v>220</v>
      </c>
      <c r="T3" s="5" t="s">
        <v>79</v>
      </c>
      <c r="U3" s="6" t="s">
        <v>80</v>
      </c>
      <c r="V3" s="5" t="s">
        <v>81</v>
      </c>
      <c r="W3" s="5" t="s">
        <v>65</v>
      </c>
      <c r="X3" s="8" t="n">
        <v>2778</v>
      </c>
      <c r="Y3" s="9" t="n">
        <f aca="false">SUMIFS(Fee_Lines!$I$2:$I$89,Fee_Lines!$A$2:$A$89,A3)</f>
        <v>17905000</v>
      </c>
      <c r="Z3" s="9" t="n">
        <f aca="false">Y3/INDEX(FX!$B$2:$B$8,MATCH(W3,FX!$A$2:$A$8,0))</f>
        <v>4875425.45949626</v>
      </c>
      <c r="AA3" s="10" t="n">
        <f aca="false">IF(N3&gt;0,Z3/N3,"n/a")</f>
        <v>128.300669986744</v>
      </c>
      <c r="AB3" s="9" t="n">
        <f aca="false">SUMIFS(Reimbursables!$F$2:$F$23,Reimbursables!$A$2:$A$23,A3)</f>
        <v>198000</v>
      </c>
      <c r="AC3" s="11" t="s">
        <v>66</v>
      </c>
      <c r="AD3" s="11"/>
      <c r="AE3" s="11"/>
      <c r="AF3" s="11" t="s">
        <v>67</v>
      </c>
      <c r="AG3" s="11" t="s">
        <v>82</v>
      </c>
    </row>
    <row r="4" customFormat="false" ht="23.85" hidden="false" customHeight="false" outlineLevel="0" collapsed="false">
      <c r="A4" s="5" t="s">
        <v>83</v>
      </c>
      <c r="B4" s="5" t="s">
        <v>84</v>
      </c>
      <c r="C4" s="6" t="s">
        <v>85</v>
      </c>
      <c r="D4" s="7" t="s">
        <v>52</v>
      </c>
      <c r="E4" s="5" t="s">
        <v>53</v>
      </c>
      <c r="F4" s="5" t="s">
        <v>86</v>
      </c>
      <c r="G4" s="5" t="s">
        <v>73</v>
      </c>
      <c r="H4" s="5" t="s">
        <v>87</v>
      </c>
      <c r="I4" s="5" t="s">
        <v>88</v>
      </c>
      <c r="J4" s="5" t="s">
        <v>58</v>
      </c>
      <c r="K4" s="5" t="s">
        <v>89</v>
      </c>
      <c r="L4" s="5" t="s">
        <v>90</v>
      </c>
      <c r="M4" s="5" t="s">
        <v>91</v>
      </c>
      <c r="N4" s="8" t="n">
        <v>145000</v>
      </c>
      <c r="O4" s="8" t="n">
        <v>38000</v>
      </c>
      <c r="P4" s="8" t="n">
        <v>16000</v>
      </c>
      <c r="Q4" s="8" t="n">
        <v>0</v>
      </c>
      <c r="R4" s="5" t="n">
        <v>520</v>
      </c>
      <c r="S4" s="5"/>
      <c r="T4" s="5" t="s">
        <v>62</v>
      </c>
      <c r="U4" s="5" t="s">
        <v>92</v>
      </c>
      <c r="V4" s="5" t="s">
        <v>93</v>
      </c>
      <c r="W4" s="5" t="s">
        <v>94</v>
      </c>
      <c r="X4" s="8" t="n">
        <v>2670</v>
      </c>
      <c r="Y4" s="9" t="n">
        <f aca="false">SUMIFS(Fee_Lines!$I$2:$I$89,Fee_Lines!$A$2:$A$89,A4)</f>
        <v>14450000</v>
      </c>
      <c r="Z4" s="9" t="n">
        <f aca="false">Y4/INDEX(FX!$B$2:$B$8,MATCH(W4,FX!$A$2:$A$8,0))</f>
        <v>3853333.33333333</v>
      </c>
      <c r="AA4" s="10" t="n">
        <f aca="false">IF(N4&gt;0,Z4/N4,"n/a")</f>
        <v>26.5747126436782</v>
      </c>
      <c r="AB4" s="9" t="n">
        <f aca="false">SUMIFS(Reimbursables!$F$2:$F$23,Reimbursables!$A$2:$A$23,A4)</f>
        <v>183000</v>
      </c>
      <c r="AC4" s="11" t="s">
        <v>95</v>
      </c>
      <c r="AD4" s="12" t="s">
        <v>96</v>
      </c>
      <c r="AE4" s="11"/>
      <c r="AF4" s="11" t="s">
        <v>67</v>
      </c>
      <c r="AG4" s="11"/>
    </row>
    <row r="5" customFormat="false" ht="23.85" hidden="false" customHeight="false" outlineLevel="0" collapsed="false">
      <c r="A5" s="5" t="s">
        <v>97</v>
      </c>
      <c r="B5" s="5" t="s">
        <v>98</v>
      </c>
      <c r="C5" s="6" t="s">
        <v>99</v>
      </c>
      <c r="D5" s="7" t="s">
        <v>52</v>
      </c>
      <c r="E5" s="5" t="s">
        <v>53</v>
      </c>
      <c r="F5" s="5" t="s">
        <v>100</v>
      </c>
      <c r="G5" s="5" t="s">
        <v>55</v>
      </c>
      <c r="H5" s="5" t="s">
        <v>56</v>
      </c>
      <c r="I5" s="5" t="s">
        <v>101</v>
      </c>
      <c r="J5" s="5" t="s">
        <v>75</v>
      </c>
      <c r="K5" s="5" t="s">
        <v>59</v>
      </c>
      <c r="L5" s="5" t="s">
        <v>102</v>
      </c>
      <c r="M5" s="6" t="s">
        <v>61</v>
      </c>
      <c r="N5" s="8" t="n">
        <v>48000</v>
      </c>
      <c r="O5" s="8" t="n">
        <v>320000</v>
      </c>
      <c r="P5" s="8" t="n">
        <v>95000</v>
      </c>
      <c r="Q5" s="8" t="n">
        <v>0</v>
      </c>
      <c r="R5" s="5" t="n">
        <v>120</v>
      </c>
      <c r="S5" s="5"/>
      <c r="T5" s="5" t="s">
        <v>103</v>
      </c>
      <c r="U5" s="5" t="s">
        <v>104</v>
      </c>
      <c r="V5" s="5" t="s">
        <v>105</v>
      </c>
      <c r="W5" s="5" t="s">
        <v>65</v>
      </c>
      <c r="X5" s="8" t="n">
        <v>1453</v>
      </c>
      <c r="Y5" s="9" t="n">
        <f aca="false">SUMIFS(Fee_Lines!$I$2:$I$89,Fee_Lines!$A$2:$A$89,A5)</f>
        <v>10310000</v>
      </c>
      <c r="Z5" s="9" t="n">
        <f aca="false">Y5/INDEX(FX!$B$2:$B$8,MATCH(W5,FX!$A$2:$A$8,0))</f>
        <v>2807351.9400953</v>
      </c>
      <c r="AA5" s="10" t="n">
        <f aca="false">IF(N5&gt;0,Z5/N5,"n/a")</f>
        <v>58.4864987519855</v>
      </c>
      <c r="AB5" s="9" t="n">
        <f aca="false">SUMIFS(Reimbursables!$F$2:$F$23,Reimbursables!$A$2:$A$23,A5)</f>
        <v>155000</v>
      </c>
      <c r="AC5" s="11" t="s">
        <v>66</v>
      </c>
      <c r="AD5" s="11"/>
      <c r="AE5" s="11"/>
      <c r="AF5" s="11" t="s">
        <v>67</v>
      </c>
      <c r="AG5" s="11"/>
    </row>
    <row r="6" customFormat="false" ht="23.85" hidden="false" customHeight="false" outlineLevel="0" collapsed="false">
      <c r="A6" s="5" t="s">
        <v>106</v>
      </c>
      <c r="B6" s="5" t="s">
        <v>107</v>
      </c>
      <c r="C6" s="6" t="s">
        <v>108</v>
      </c>
      <c r="D6" s="7" t="s">
        <v>52</v>
      </c>
      <c r="E6" s="5" t="s">
        <v>109</v>
      </c>
      <c r="F6" s="5" t="s">
        <v>110</v>
      </c>
      <c r="G6" s="5" t="s">
        <v>73</v>
      </c>
      <c r="H6" s="5" t="s">
        <v>111</v>
      </c>
      <c r="I6" s="5" t="s">
        <v>112</v>
      </c>
      <c r="J6" s="5" t="s">
        <v>58</v>
      </c>
      <c r="K6" s="5" t="s">
        <v>113</v>
      </c>
      <c r="L6" s="5" t="s">
        <v>60</v>
      </c>
      <c r="M6" s="6" t="s">
        <v>61</v>
      </c>
      <c r="N6" s="8" t="n">
        <v>18500</v>
      </c>
      <c r="O6" s="8" t="n">
        <v>3100</v>
      </c>
      <c r="P6" s="8" t="n">
        <v>0</v>
      </c>
      <c r="Q6" s="8" t="n">
        <v>14000</v>
      </c>
      <c r="R6" s="5"/>
      <c r="S6" s="5"/>
      <c r="T6" s="5" t="s">
        <v>79</v>
      </c>
      <c r="U6" s="6" t="s">
        <v>114</v>
      </c>
      <c r="V6" s="5" t="s">
        <v>115</v>
      </c>
      <c r="W6" s="5" t="s">
        <v>116</v>
      </c>
      <c r="X6" s="8" t="n">
        <v>1864</v>
      </c>
      <c r="Y6" s="9" t="n">
        <f aca="false">SUMIFS(Fee_Lines!$I$2:$I$89,Fee_Lines!$A$2:$A$89,A6)</f>
        <v>1085000</v>
      </c>
      <c r="Z6" s="9" t="n">
        <f aca="false">Y6/INDEX(FX!$B$2:$B$8,MATCH(W6,FX!$A$2:$A$8,0))</f>
        <v>1179347.82608696</v>
      </c>
      <c r="AA6" s="10" t="n">
        <f aca="false">IF(N6&gt;0,Z6/N6,"n/a")</f>
        <v>63.7485311398355</v>
      </c>
      <c r="AB6" s="9" t="n">
        <f aca="false">SUMIFS(Reimbursables!$F$2:$F$23,Reimbursables!$A$2:$A$23,A6)</f>
        <v>14800</v>
      </c>
      <c r="AC6" s="11" t="s">
        <v>95</v>
      </c>
      <c r="AD6" s="12" t="s">
        <v>117</v>
      </c>
      <c r="AE6" s="11"/>
      <c r="AF6" s="11" t="s">
        <v>67</v>
      </c>
      <c r="AG6" s="12" t="s">
        <v>118</v>
      </c>
    </row>
    <row r="7" customFormat="false" ht="15" hidden="false" customHeight="false" outlineLevel="0" collapsed="false">
      <c r="A7" s="5" t="s">
        <v>119</v>
      </c>
      <c r="B7" s="5" t="s">
        <v>120</v>
      </c>
      <c r="C7" s="6" t="s">
        <v>121</v>
      </c>
      <c r="D7" s="7" t="s">
        <v>52</v>
      </c>
      <c r="E7" s="5" t="s">
        <v>109</v>
      </c>
      <c r="F7" s="5" t="s">
        <v>122</v>
      </c>
      <c r="G7" s="5" t="s">
        <v>55</v>
      </c>
      <c r="H7" s="5" t="s">
        <v>111</v>
      </c>
      <c r="I7" s="5" t="s">
        <v>123</v>
      </c>
      <c r="J7" s="5" t="s">
        <v>75</v>
      </c>
      <c r="K7" s="5" t="s">
        <v>76</v>
      </c>
      <c r="L7" s="5" t="s">
        <v>77</v>
      </c>
      <c r="M7" s="5" t="s">
        <v>91</v>
      </c>
      <c r="N7" s="8" t="n">
        <v>9800</v>
      </c>
      <c r="O7" s="8" t="n">
        <v>5400</v>
      </c>
      <c r="P7" s="8" t="n">
        <v>2800</v>
      </c>
      <c r="Q7" s="8" t="n">
        <v>6500</v>
      </c>
      <c r="R7" s="5"/>
      <c r="S7" s="5" t="n">
        <v>85</v>
      </c>
      <c r="T7" s="5" t="s">
        <v>62</v>
      </c>
      <c r="U7" s="5" t="s">
        <v>124</v>
      </c>
      <c r="V7" s="5" t="s">
        <v>125</v>
      </c>
      <c r="W7" s="5" t="s">
        <v>116</v>
      </c>
      <c r="X7" s="8" t="n">
        <v>3274</v>
      </c>
      <c r="Y7" s="9" t="n">
        <f aca="false">SUMIFS(Fee_Lines!$I$2:$I$89,Fee_Lines!$A$2:$A$89,A7)</f>
        <v>715600</v>
      </c>
      <c r="Z7" s="9" t="n">
        <f aca="false">Y7/INDEX(FX!$B$2:$B$8,MATCH(W7,FX!$A$2:$A$8,0))</f>
        <v>777826.086956522</v>
      </c>
      <c r="AA7" s="10" t="n">
        <f aca="false">IF(N7&gt;0,Z7/N7,"n/a")</f>
        <v>79.3700088731145</v>
      </c>
      <c r="AB7" s="9" t="n">
        <f aca="false">SUMIFS(Reimbursables!$F$2:$F$23,Reimbursables!$A$2:$A$23,A7)</f>
        <v>26250</v>
      </c>
      <c r="AC7" s="11" t="s">
        <v>66</v>
      </c>
      <c r="AD7" s="11"/>
      <c r="AE7" s="11"/>
      <c r="AF7" s="11" t="s">
        <v>67</v>
      </c>
      <c r="AG7" s="11"/>
    </row>
    <row r="8" customFormat="false" ht="15" hidden="false" customHeight="false" outlineLevel="0" collapsed="false">
      <c r="A8" s="5" t="s">
        <v>126</v>
      </c>
      <c r="B8" s="5" t="s">
        <v>127</v>
      </c>
      <c r="C8" s="5" t="s">
        <v>128</v>
      </c>
      <c r="D8" s="7" t="s">
        <v>52</v>
      </c>
      <c r="E8" s="5" t="s">
        <v>129</v>
      </c>
      <c r="F8" s="5" t="s">
        <v>130</v>
      </c>
      <c r="G8" s="5" t="s">
        <v>73</v>
      </c>
      <c r="H8" s="5" t="s">
        <v>131</v>
      </c>
      <c r="I8" s="5" t="s">
        <v>131</v>
      </c>
      <c r="J8" s="5" t="s">
        <v>58</v>
      </c>
      <c r="K8" s="5" t="s">
        <v>113</v>
      </c>
      <c r="L8" s="5" t="s">
        <v>132</v>
      </c>
      <c r="M8" s="5" t="s">
        <v>133</v>
      </c>
      <c r="N8" s="8" t="n">
        <v>74000</v>
      </c>
      <c r="O8" s="8" t="n">
        <v>6200</v>
      </c>
      <c r="P8" s="8" t="n">
        <v>0</v>
      </c>
      <c r="Q8" s="8" t="n">
        <v>0</v>
      </c>
      <c r="R8" s="5"/>
      <c r="S8" s="5"/>
      <c r="T8" s="5" t="s">
        <v>62</v>
      </c>
      <c r="U8" s="5" t="s">
        <v>134</v>
      </c>
      <c r="V8" s="5" t="s">
        <v>135</v>
      </c>
      <c r="W8" s="5" t="s">
        <v>136</v>
      </c>
      <c r="X8" s="8" t="n">
        <v>2623</v>
      </c>
      <c r="Y8" s="9" t="n">
        <f aca="false">SUMIFS(Fee_Lines!$I$2:$I$89,Fee_Lines!$A$2:$A$89,A8)</f>
        <v>1503000</v>
      </c>
      <c r="Z8" s="9" t="n">
        <f aca="false">Y8/INDEX(FX!$B$2:$B$8,MATCH(W8,FX!$A$2:$A$8,0))</f>
        <v>1121641.79104478</v>
      </c>
      <c r="AA8" s="10" t="n">
        <f aca="false">IF(N8&gt;0,Z8/N8,"n/a")</f>
        <v>15.1573215006051</v>
      </c>
      <c r="AB8" s="9" t="n">
        <f aca="false">SUMIFS(Reimbursables!$F$2:$F$23,Reimbursables!$A$2:$A$23,A8)</f>
        <v>16200</v>
      </c>
      <c r="AC8" s="11" t="s">
        <v>137</v>
      </c>
      <c r="AD8" s="11" t="s">
        <v>138</v>
      </c>
      <c r="AE8" s="11"/>
      <c r="AF8" s="11" t="s">
        <v>67</v>
      </c>
      <c r="AG8" s="11"/>
    </row>
    <row r="9" customFormat="false" ht="23.85" hidden="false" customHeight="false" outlineLevel="0" collapsed="false">
      <c r="A9" s="5" t="s">
        <v>139</v>
      </c>
      <c r="B9" s="5" t="s">
        <v>140</v>
      </c>
      <c r="C9" s="6" t="s">
        <v>141</v>
      </c>
      <c r="D9" s="7" t="s">
        <v>52</v>
      </c>
      <c r="E9" s="5" t="s">
        <v>129</v>
      </c>
      <c r="F9" s="5" t="s">
        <v>142</v>
      </c>
      <c r="G9" s="5" t="s">
        <v>55</v>
      </c>
      <c r="H9" s="5" t="s">
        <v>131</v>
      </c>
      <c r="I9" s="5" t="s">
        <v>131</v>
      </c>
      <c r="J9" s="5" t="s">
        <v>58</v>
      </c>
      <c r="K9" s="5" t="s">
        <v>59</v>
      </c>
      <c r="L9" s="5" t="s">
        <v>77</v>
      </c>
      <c r="M9" s="6" t="s">
        <v>143</v>
      </c>
      <c r="N9" s="8" t="n">
        <v>41000</v>
      </c>
      <c r="O9" s="8" t="n">
        <v>15500</v>
      </c>
      <c r="P9" s="8" t="n">
        <v>8200</v>
      </c>
      <c r="Q9" s="8" t="n">
        <v>3800</v>
      </c>
      <c r="R9" s="5" t="n">
        <v>360</v>
      </c>
      <c r="S9" s="5"/>
      <c r="T9" s="5" t="s">
        <v>62</v>
      </c>
      <c r="U9" s="6" t="s">
        <v>144</v>
      </c>
      <c r="V9" s="5" t="s">
        <v>145</v>
      </c>
      <c r="W9" s="5" t="s">
        <v>136</v>
      </c>
      <c r="X9" s="8" t="n">
        <v>2415</v>
      </c>
      <c r="Y9" s="9" t="n">
        <f aca="false">SUMIFS(Fee_Lines!$I$2:$I$89,Fee_Lines!$A$2:$A$89,A9)</f>
        <v>2822000</v>
      </c>
      <c r="Z9" s="9" t="n">
        <f aca="false">Y9/INDEX(FX!$B$2:$B$8,MATCH(W9,FX!$A$2:$A$8,0))</f>
        <v>2105970.14925373</v>
      </c>
      <c r="AA9" s="10" t="n">
        <f aca="false">IF(N9&gt;0,Z9/N9,"n/a")</f>
        <v>51.3651255915544</v>
      </c>
      <c r="AB9" s="9" t="n">
        <f aca="false">SUMIFS(Reimbursables!$F$2:$F$23,Reimbursables!$A$2:$A$23,A9)</f>
        <v>32400</v>
      </c>
      <c r="AC9" s="11" t="s">
        <v>66</v>
      </c>
      <c r="AD9" s="11"/>
      <c r="AE9" s="11"/>
      <c r="AF9" s="11" t="s">
        <v>67</v>
      </c>
      <c r="AG9" s="11"/>
    </row>
    <row r="10" customFormat="false" ht="23.85" hidden="false" customHeight="false" outlineLevel="0" collapsed="false">
      <c r="A10" s="5" t="s">
        <v>146</v>
      </c>
      <c r="B10" s="5" t="s">
        <v>147</v>
      </c>
      <c r="C10" s="6" t="s">
        <v>148</v>
      </c>
      <c r="D10" s="7" t="s">
        <v>52</v>
      </c>
      <c r="E10" s="5" t="s">
        <v>149</v>
      </c>
      <c r="F10" s="5" t="s">
        <v>150</v>
      </c>
      <c r="G10" s="5" t="s">
        <v>73</v>
      </c>
      <c r="H10" s="5" t="s">
        <v>151</v>
      </c>
      <c r="I10" s="5" t="s">
        <v>152</v>
      </c>
      <c r="J10" s="5" t="s">
        <v>58</v>
      </c>
      <c r="K10" s="5" t="s">
        <v>89</v>
      </c>
      <c r="L10" s="5" t="s">
        <v>77</v>
      </c>
      <c r="M10" s="6" t="s">
        <v>78</v>
      </c>
      <c r="N10" s="8" t="n">
        <v>96000</v>
      </c>
      <c r="O10" s="8" t="n">
        <v>7400</v>
      </c>
      <c r="P10" s="8" t="n">
        <v>3500</v>
      </c>
      <c r="Q10" s="8" t="n">
        <v>12000</v>
      </c>
      <c r="R10" s="5" t="n">
        <v>380</v>
      </c>
      <c r="S10" s="5" t="n">
        <v>160</v>
      </c>
      <c r="T10" s="5" t="s">
        <v>79</v>
      </c>
      <c r="U10" s="6" t="s">
        <v>153</v>
      </c>
      <c r="V10" s="5" t="s">
        <v>154</v>
      </c>
      <c r="W10" s="5" t="s">
        <v>155</v>
      </c>
      <c r="X10" s="8" t="n">
        <v>965</v>
      </c>
      <c r="Y10" s="9" t="n">
        <f aca="false">SUMIFS(Fee_Lines!$I$2:$I$89,Fee_Lines!$A$2:$A$89,A10)</f>
        <v>3410000</v>
      </c>
      <c r="Z10" s="9" t="n">
        <f aca="false">Y10/INDEX(FX!$B$2:$B$8,MATCH(W10,FX!$A$2:$A$8,0))</f>
        <v>3410000</v>
      </c>
      <c r="AA10" s="10" t="n">
        <f aca="false">IF(N10&gt;0,Z10/N10,"n/a")</f>
        <v>35.5208333333333</v>
      </c>
      <c r="AB10" s="9" t="n">
        <f aca="false">SUMIFS(Reimbursables!$F$2:$F$23,Reimbursables!$A$2:$A$23,A10)</f>
        <v>51000</v>
      </c>
      <c r="AC10" s="11" t="s">
        <v>66</v>
      </c>
      <c r="AD10" s="11"/>
      <c r="AE10" s="12" t="s">
        <v>156</v>
      </c>
      <c r="AF10" s="11" t="s">
        <v>67</v>
      </c>
      <c r="AG10" s="12" t="s">
        <v>157</v>
      </c>
    </row>
    <row r="11" customFormat="false" ht="23.85" hidden="false" customHeight="false" outlineLevel="0" collapsed="false">
      <c r="A11" s="5" t="s">
        <v>158</v>
      </c>
      <c r="B11" s="5" t="s">
        <v>159</v>
      </c>
      <c r="C11" s="6" t="s">
        <v>160</v>
      </c>
      <c r="D11" s="7" t="s">
        <v>52</v>
      </c>
      <c r="E11" s="5" t="s">
        <v>149</v>
      </c>
      <c r="F11" s="5" t="s">
        <v>161</v>
      </c>
      <c r="G11" s="5" t="s">
        <v>55</v>
      </c>
      <c r="H11" s="5" t="s">
        <v>151</v>
      </c>
      <c r="I11" s="5" t="s">
        <v>162</v>
      </c>
      <c r="J11" s="5" t="s">
        <v>75</v>
      </c>
      <c r="K11" s="5" t="s">
        <v>76</v>
      </c>
      <c r="L11" s="6" t="s">
        <v>163</v>
      </c>
      <c r="M11" s="5" t="s">
        <v>91</v>
      </c>
      <c r="N11" s="8" t="n">
        <v>26000</v>
      </c>
      <c r="O11" s="8" t="n">
        <v>140000</v>
      </c>
      <c r="P11" s="8" t="n">
        <v>60000</v>
      </c>
      <c r="Q11" s="8" t="n">
        <v>14000</v>
      </c>
      <c r="R11" s="5"/>
      <c r="S11" s="5" t="n">
        <v>180</v>
      </c>
      <c r="T11" s="5" t="s">
        <v>62</v>
      </c>
      <c r="U11" s="5" t="s">
        <v>164</v>
      </c>
      <c r="V11" s="5" t="s">
        <v>165</v>
      </c>
      <c r="W11" s="5" t="s">
        <v>155</v>
      </c>
      <c r="X11" s="8" t="n">
        <v>1767</v>
      </c>
      <c r="Y11" s="9" t="n">
        <f aca="false">SUMIFS(Fee_Lines!$I$2:$I$89,Fee_Lines!$A$2:$A$89,A11)</f>
        <v>1795000</v>
      </c>
      <c r="Z11" s="9" t="n">
        <f aca="false">Y11/INDEX(FX!$B$2:$B$8,MATCH(W11,FX!$A$2:$A$8,0))</f>
        <v>1795000</v>
      </c>
      <c r="AA11" s="10" t="n">
        <f aca="false">IF(N11&gt;0,Z11/N11,"n/a")</f>
        <v>69.0384615384615</v>
      </c>
      <c r="AB11" s="9" t="n">
        <f aca="false">SUMIFS(Reimbursables!$F$2:$F$23,Reimbursables!$A$2:$A$23,A11)</f>
        <v>28500</v>
      </c>
      <c r="AC11" s="11" t="s">
        <v>166</v>
      </c>
      <c r="AD11" s="11"/>
      <c r="AE11" s="11"/>
      <c r="AF11" s="11" t="s">
        <v>67</v>
      </c>
      <c r="AG11" s="11"/>
    </row>
    <row r="12" customFormat="false" ht="23.85" hidden="false" customHeight="false" outlineLevel="0" collapsed="false">
      <c r="A12" s="5" t="s">
        <v>167</v>
      </c>
      <c r="B12" s="5" t="s">
        <v>168</v>
      </c>
      <c r="C12" s="5" t="s">
        <v>169</v>
      </c>
      <c r="D12" s="7" t="s">
        <v>52</v>
      </c>
      <c r="E12" s="5" t="s">
        <v>170</v>
      </c>
      <c r="F12" s="5" t="s">
        <v>171</v>
      </c>
      <c r="G12" s="5" t="s">
        <v>73</v>
      </c>
      <c r="H12" s="5" t="s">
        <v>172</v>
      </c>
      <c r="I12" s="5" t="s">
        <v>173</v>
      </c>
      <c r="J12" s="5" t="s">
        <v>58</v>
      </c>
      <c r="K12" s="5" t="s">
        <v>113</v>
      </c>
      <c r="L12" s="5" t="s">
        <v>90</v>
      </c>
      <c r="M12" s="6" t="s">
        <v>61</v>
      </c>
      <c r="N12" s="8" t="n">
        <v>88000</v>
      </c>
      <c r="O12" s="8" t="n">
        <v>52000</v>
      </c>
      <c r="P12" s="8" t="n">
        <v>26000</v>
      </c>
      <c r="Q12" s="8" t="n">
        <v>0</v>
      </c>
      <c r="R12" s="5"/>
      <c r="S12" s="5"/>
      <c r="T12" s="5" t="s">
        <v>62</v>
      </c>
      <c r="U12" s="6" t="s">
        <v>174</v>
      </c>
      <c r="V12" s="5" t="s">
        <v>175</v>
      </c>
      <c r="W12" s="5" t="s">
        <v>176</v>
      </c>
      <c r="X12" s="8" t="n">
        <v>808</v>
      </c>
      <c r="Y12" s="9" t="n">
        <f aca="false">SUMIFS(Fee_Lines!$I$2:$I$89,Fee_Lines!$A$2:$A$89,A12)</f>
        <v>12170000</v>
      </c>
      <c r="Z12" s="9" t="n">
        <f aca="false">Y12/INDEX(FX!$B$2:$B$8,MATCH(W12,FX!$A$2:$A$8,0))</f>
        <v>1690277.77777778</v>
      </c>
      <c r="AA12" s="10" t="n">
        <f aca="false">IF(N12&gt;0,Z12/N12,"n/a")</f>
        <v>19.207702020202</v>
      </c>
      <c r="AB12" s="9" t="n">
        <f aca="false">SUMIFS(Reimbursables!$F$2:$F$23,Reimbursables!$A$2:$A$23,A12)</f>
        <v>132000</v>
      </c>
      <c r="AC12" s="11" t="s">
        <v>95</v>
      </c>
      <c r="AD12" s="12" t="s">
        <v>177</v>
      </c>
      <c r="AE12" s="11"/>
      <c r="AF12" s="11" t="s">
        <v>67</v>
      </c>
      <c r="AG12" s="12" t="s">
        <v>178</v>
      </c>
    </row>
    <row r="13" customFormat="false" ht="23.85" hidden="false" customHeight="false" outlineLevel="0" collapsed="false">
      <c r="A13" s="5" t="s">
        <v>179</v>
      </c>
      <c r="B13" s="5" t="s">
        <v>180</v>
      </c>
      <c r="C13" s="6" t="s">
        <v>181</v>
      </c>
      <c r="D13" s="7" t="s">
        <v>52</v>
      </c>
      <c r="E13" s="5" t="s">
        <v>170</v>
      </c>
      <c r="F13" s="5" t="s">
        <v>182</v>
      </c>
      <c r="G13" s="5" t="s">
        <v>73</v>
      </c>
      <c r="H13" s="5" t="s">
        <v>172</v>
      </c>
      <c r="I13" s="5" t="s">
        <v>183</v>
      </c>
      <c r="J13" s="5" t="s">
        <v>75</v>
      </c>
      <c r="K13" s="5" t="s">
        <v>184</v>
      </c>
      <c r="L13" s="5" t="s">
        <v>184</v>
      </c>
      <c r="M13" s="5" t="s">
        <v>133</v>
      </c>
      <c r="N13" s="8" t="n">
        <v>0</v>
      </c>
      <c r="O13" s="8" t="n">
        <v>1200000</v>
      </c>
      <c r="P13" s="8" t="n">
        <v>0</v>
      </c>
      <c r="Q13" s="8" t="n">
        <v>0</v>
      </c>
      <c r="R13" s="5"/>
      <c r="S13" s="5"/>
      <c r="T13" s="5" t="s">
        <v>79</v>
      </c>
      <c r="U13" s="6" t="s">
        <v>185</v>
      </c>
      <c r="V13" s="5" t="s">
        <v>186</v>
      </c>
      <c r="W13" s="5" t="s">
        <v>176</v>
      </c>
      <c r="X13" s="8"/>
      <c r="Y13" s="9" t="n">
        <f aca="false">SUMIFS(Fee_Lines!$I$2:$I$89,Fee_Lines!$A$2:$A$89,A13)</f>
        <v>7130000</v>
      </c>
      <c r="Z13" s="9" t="n">
        <f aca="false">Y13/INDEX(FX!$B$2:$B$8,MATCH(W13,FX!$A$2:$A$8,0))</f>
        <v>990277.777777778</v>
      </c>
      <c r="AA13" s="10" t="str">
        <f aca="false">IF(N13&gt;0,Z13/N13,"n/a")</f>
        <v>n/a</v>
      </c>
      <c r="AB13" s="9" t="n">
        <f aca="false">SUMIFS(Reimbursables!$F$2:$F$23,Reimbursables!$A$2:$A$23,A13)</f>
        <v>110000</v>
      </c>
      <c r="AC13" s="11" t="s">
        <v>66</v>
      </c>
      <c r="AD13" s="11"/>
      <c r="AE13" s="11"/>
      <c r="AF13" s="11" t="s">
        <v>67</v>
      </c>
      <c r="AG13" s="11"/>
    </row>
    <row r="14" customFormat="false" ht="23.85" hidden="false" customHeight="false" outlineLevel="0" collapsed="false">
      <c r="A14" s="5" t="s">
        <v>187</v>
      </c>
      <c r="B14" s="5" t="s">
        <v>188</v>
      </c>
      <c r="C14" s="6" t="s">
        <v>189</v>
      </c>
      <c r="D14" s="7" t="s">
        <v>52</v>
      </c>
      <c r="E14" s="5" t="s">
        <v>53</v>
      </c>
      <c r="F14" s="5" t="s">
        <v>190</v>
      </c>
      <c r="G14" s="5" t="s">
        <v>73</v>
      </c>
      <c r="H14" s="5" t="s">
        <v>191</v>
      </c>
      <c r="I14" s="5" t="s">
        <v>192</v>
      </c>
      <c r="J14" s="5" t="s">
        <v>58</v>
      </c>
      <c r="K14" s="5" t="s">
        <v>59</v>
      </c>
      <c r="L14" s="5" t="s">
        <v>60</v>
      </c>
      <c r="M14" s="6" t="s">
        <v>61</v>
      </c>
      <c r="N14" s="8" t="n">
        <v>110000</v>
      </c>
      <c r="O14" s="8" t="n">
        <v>9500</v>
      </c>
      <c r="P14" s="8" t="n">
        <v>0</v>
      </c>
      <c r="Q14" s="8" t="n">
        <v>4500</v>
      </c>
      <c r="R14" s="5" t="n">
        <v>640</v>
      </c>
      <c r="S14" s="5"/>
      <c r="T14" s="5" t="s">
        <v>79</v>
      </c>
      <c r="U14" s="6" t="s">
        <v>193</v>
      </c>
      <c r="V14" s="5" t="s">
        <v>194</v>
      </c>
      <c r="W14" s="5" t="s">
        <v>195</v>
      </c>
      <c r="X14" s="8" t="n">
        <v>562</v>
      </c>
      <c r="Y14" s="9" t="n">
        <f aca="false">SUMIFS(Fee_Lines!$I$2:$I$89,Fee_Lines!$A$2:$A$89,A14)</f>
        <v>179700000</v>
      </c>
      <c r="Z14" s="9" t="n">
        <f aca="false">Y14/INDEX(FX!$B$2:$B$8,MATCH(W14,FX!$A$2:$A$8,0))</f>
        <v>2114117.64705882</v>
      </c>
      <c r="AA14" s="10" t="n">
        <f aca="false">IF(N14&gt;0,Z14/N14,"n/a")</f>
        <v>19.2192513368984</v>
      </c>
      <c r="AB14" s="9" t="n">
        <f aca="false">SUMIFS(Reimbursables!$F$2:$F$23,Reimbursables!$A$2:$A$23,A14)</f>
        <v>2500000</v>
      </c>
      <c r="AC14" s="11" t="s">
        <v>95</v>
      </c>
      <c r="AD14" s="11" t="s">
        <v>196</v>
      </c>
      <c r="AE14" s="11"/>
      <c r="AF14" s="11" t="s">
        <v>197</v>
      </c>
      <c r="AG14" s="11"/>
    </row>
    <row r="15" customFormat="false" ht="15" hidden="false" customHeight="false" outlineLevel="0" collapsed="false">
      <c r="A15" s="5" t="s">
        <v>198</v>
      </c>
      <c r="B15" s="5" t="s">
        <v>199</v>
      </c>
      <c r="C15" s="6" t="s">
        <v>200</v>
      </c>
      <c r="D15" s="7" t="s">
        <v>52</v>
      </c>
      <c r="E15" s="5" t="s">
        <v>53</v>
      </c>
      <c r="F15" s="5" t="s">
        <v>54</v>
      </c>
      <c r="G15" s="5" t="s">
        <v>55</v>
      </c>
      <c r="H15" s="5" t="s">
        <v>56</v>
      </c>
      <c r="I15" s="5" t="s">
        <v>57</v>
      </c>
      <c r="J15" s="5" t="s">
        <v>58</v>
      </c>
      <c r="K15" s="5" t="s">
        <v>113</v>
      </c>
      <c r="L15" s="5" t="s">
        <v>60</v>
      </c>
      <c r="M15" s="5" t="s">
        <v>91</v>
      </c>
      <c r="N15" s="8" t="n">
        <v>27000</v>
      </c>
      <c r="O15" s="8" t="n">
        <v>3600</v>
      </c>
      <c r="P15" s="8" t="n">
        <v>0</v>
      </c>
      <c r="Q15" s="8" t="n">
        <v>9000</v>
      </c>
      <c r="R15" s="5"/>
      <c r="S15" s="5"/>
      <c r="T15" s="5" t="s">
        <v>103</v>
      </c>
      <c r="U15" s="6" t="s">
        <v>201</v>
      </c>
      <c r="V15" s="5" t="s">
        <v>202</v>
      </c>
      <c r="W15" s="5" t="s">
        <v>65</v>
      </c>
      <c r="X15" s="8" t="n">
        <v>1773</v>
      </c>
      <c r="Y15" s="9" t="n">
        <f aca="false">SUMIFS(Fee_Lines!$I$2:$I$89,Fee_Lines!$A$2:$A$89,A15)</f>
        <v>1800000</v>
      </c>
      <c r="Z15" s="9" t="n">
        <f aca="false">Y15/INDEX(FX!$B$2:$B$8,MATCH(W15,FX!$A$2:$A$8,0))</f>
        <v>490129.339686862</v>
      </c>
      <c r="AA15" s="10" t="n">
        <f aca="false">IF(N15&gt;0,Z15/N15,"n/a")</f>
        <v>18.1529385069208</v>
      </c>
      <c r="AB15" s="9" t="n">
        <f aca="false">SUMIFS(Reimbursables!$F$2:$F$23,Reimbursables!$A$2:$A$23,A15)</f>
        <v>45000</v>
      </c>
      <c r="AC15" s="11" t="s">
        <v>166</v>
      </c>
      <c r="AD15" s="11"/>
      <c r="AE15" s="11"/>
      <c r="AF15" s="11" t="s">
        <v>67</v>
      </c>
      <c r="AG1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4" t="s">
        <v>16</v>
      </c>
      <c r="B1" s="4" t="s">
        <v>203</v>
      </c>
      <c r="C1" s="4" t="s">
        <v>204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38</v>
      </c>
      <c r="I1" s="4" t="s">
        <v>209</v>
      </c>
      <c r="J1" s="4" t="s">
        <v>210</v>
      </c>
    </row>
    <row r="2" customFormat="false" ht="15" hidden="false" customHeight="false" outlineLevel="0" collapsed="false">
      <c r="A2" s="11" t="s">
        <v>49</v>
      </c>
      <c r="B2" s="11" t="n">
        <v>1</v>
      </c>
      <c r="C2" s="11" t="s">
        <v>132</v>
      </c>
      <c r="D2" s="11" t="s">
        <v>211</v>
      </c>
      <c r="E2" s="11" t="s">
        <v>212</v>
      </c>
      <c r="F2" s="5" t="n">
        <v>62000</v>
      </c>
      <c r="G2" s="11" t="s">
        <v>213</v>
      </c>
      <c r="H2" s="11" t="s">
        <v>65</v>
      </c>
      <c r="I2" s="8" t="n">
        <v>1590000</v>
      </c>
      <c r="J2" s="9" t="n">
        <f aca="false">I2/INDEX(FX!$B$2:$B$8,MATCH(H2,FX!$A$2:$A$8,0))</f>
        <v>432947.583390061</v>
      </c>
    </row>
    <row r="3" customFormat="false" ht="15" hidden="false" customHeight="false" outlineLevel="0" collapsed="false">
      <c r="A3" s="11" t="s">
        <v>49</v>
      </c>
      <c r="B3" s="11" t="n">
        <v>2</v>
      </c>
      <c r="C3" s="11" t="s">
        <v>132</v>
      </c>
      <c r="D3" s="11" t="s">
        <v>214</v>
      </c>
      <c r="E3" s="11" t="s">
        <v>212</v>
      </c>
      <c r="F3" s="5" t="n">
        <v>62000</v>
      </c>
      <c r="G3" s="11" t="s">
        <v>213</v>
      </c>
      <c r="H3" s="11" t="s">
        <v>65</v>
      </c>
      <c r="I3" s="8" t="n">
        <v>1590000</v>
      </c>
      <c r="J3" s="9" t="n">
        <f aca="false">I3/INDEX(FX!$B$2:$B$8,MATCH(H3,FX!$A$2:$A$8,0))</f>
        <v>432947.583390061</v>
      </c>
    </row>
    <row r="4" customFormat="false" ht="15" hidden="false" customHeight="false" outlineLevel="0" collapsed="false">
      <c r="A4" s="11" t="s">
        <v>49</v>
      </c>
      <c r="B4" s="11" t="n">
        <v>3</v>
      </c>
      <c r="C4" s="11" t="s">
        <v>132</v>
      </c>
      <c r="D4" s="11" t="s">
        <v>215</v>
      </c>
      <c r="E4" s="11" t="s">
        <v>212</v>
      </c>
      <c r="F4" s="5" t="n">
        <v>62000</v>
      </c>
      <c r="G4" s="11" t="s">
        <v>213</v>
      </c>
      <c r="H4" s="11" t="s">
        <v>65</v>
      </c>
      <c r="I4" s="8" t="n">
        <v>2125000</v>
      </c>
      <c r="J4" s="9" t="n">
        <f aca="false">I4/INDEX(FX!$B$2:$B$8,MATCH(H4,FX!$A$2:$A$8,0))</f>
        <v>578624.914908101</v>
      </c>
    </row>
    <row r="5" customFormat="false" ht="15" hidden="false" customHeight="false" outlineLevel="0" collapsed="false">
      <c r="A5" s="11" t="s">
        <v>49</v>
      </c>
      <c r="B5" s="11" t="n">
        <v>4</v>
      </c>
      <c r="C5" s="11" t="s">
        <v>216</v>
      </c>
      <c r="D5" s="11" t="s">
        <v>211</v>
      </c>
      <c r="E5" s="11" t="s">
        <v>217</v>
      </c>
      <c r="F5" s="5" t="n">
        <v>5200</v>
      </c>
      <c r="G5" s="11" t="s">
        <v>218</v>
      </c>
      <c r="H5" s="11" t="s">
        <v>65</v>
      </c>
      <c r="I5" s="8" t="n">
        <v>125000</v>
      </c>
      <c r="J5" s="9" t="n">
        <f aca="false">I5/INDEX(FX!$B$2:$B$8,MATCH(H5,FX!$A$2:$A$8,0))</f>
        <v>34036.7597004765</v>
      </c>
    </row>
    <row r="6" customFormat="false" ht="15" hidden="false" customHeight="false" outlineLevel="0" collapsed="false">
      <c r="A6" s="11" t="s">
        <v>49</v>
      </c>
      <c r="B6" s="11" t="n">
        <v>5</v>
      </c>
      <c r="C6" s="11" t="s">
        <v>216</v>
      </c>
      <c r="D6" s="11" t="s">
        <v>214</v>
      </c>
      <c r="E6" s="11" t="s">
        <v>217</v>
      </c>
      <c r="F6" s="5" t="n">
        <v>5200</v>
      </c>
      <c r="G6" s="11" t="s">
        <v>218</v>
      </c>
      <c r="H6" s="11" t="s">
        <v>65</v>
      </c>
      <c r="I6" s="8" t="n">
        <v>125000</v>
      </c>
      <c r="J6" s="9" t="n">
        <f aca="false">I6/INDEX(FX!$B$2:$B$8,MATCH(H6,FX!$A$2:$A$8,0))</f>
        <v>34036.7597004765</v>
      </c>
    </row>
    <row r="7" customFormat="false" ht="15" hidden="false" customHeight="false" outlineLevel="0" collapsed="false">
      <c r="A7" s="11" t="s">
        <v>49</v>
      </c>
      <c r="B7" s="11" t="n">
        <v>6</v>
      </c>
      <c r="C7" s="11" t="s">
        <v>216</v>
      </c>
      <c r="D7" s="11" t="s">
        <v>215</v>
      </c>
      <c r="E7" s="11" t="s">
        <v>217</v>
      </c>
      <c r="F7" s="5" t="n">
        <v>5200</v>
      </c>
      <c r="G7" s="11" t="s">
        <v>218</v>
      </c>
      <c r="H7" s="11" t="s">
        <v>65</v>
      </c>
      <c r="I7" s="8" t="n">
        <v>170000</v>
      </c>
      <c r="J7" s="9" t="n">
        <f aca="false">I7/INDEX(FX!$B$2:$B$8,MATCH(H7,FX!$A$2:$A$8,0))</f>
        <v>46289.9931926481</v>
      </c>
    </row>
    <row r="8" customFormat="false" ht="15" hidden="false" customHeight="false" outlineLevel="0" collapsed="false">
      <c r="A8" s="11" t="s">
        <v>69</v>
      </c>
      <c r="B8" s="11" t="n">
        <v>1</v>
      </c>
      <c r="C8" s="11" t="s">
        <v>132</v>
      </c>
      <c r="D8" s="11" t="s">
        <v>211</v>
      </c>
      <c r="E8" s="11" t="s">
        <v>212</v>
      </c>
      <c r="F8" s="5" t="n">
        <v>38000</v>
      </c>
      <c r="G8" s="11" t="s">
        <v>213</v>
      </c>
      <c r="H8" s="11" t="s">
        <v>65</v>
      </c>
      <c r="I8" s="8" t="n">
        <v>2935000</v>
      </c>
      <c r="J8" s="9" t="n">
        <f aca="false">I8/INDEX(FX!$B$2:$B$8,MATCH(H8,FX!$A$2:$A$8,0))</f>
        <v>799183.117767189</v>
      </c>
    </row>
    <row r="9" customFormat="false" ht="15" hidden="false" customHeight="false" outlineLevel="0" collapsed="false">
      <c r="A9" s="11" t="s">
        <v>69</v>
      </c>
      <c r="B9" s="11" t="n">
        <v>2</v>
      </c>
      <c r="C9" s="11" t="s">
        <v>132</v>
      </c>
      <c r="D9" s="11" t="s">
        <v>214</v>
      </c>
      <c r="E9" s="11" t="s">
        <v>212</v>
      </c>
      <c r="F9" s="5" t="n">
        <v>38000</v>
      </c>
      <c r="G9" s="11" t="s">
        <v>213</v>
      </c>
      <c r="H9" s="11" t="s">
        <v>65</v>
      </c>
      <c r="I9" s="8" t="n">
        <v>2935000</v>
      </c>
      <c r="J9" s="9" t="n">
        <f aca="false">I9/INDEX(FX!$B$2:$B$8,MATCH(H9,FX!$A$2:$A$8,0))</f>
        <v>799183.117767189</v>
      </c>
    </row>
    <row r="10" customFormat="false" ht="15" hidden="false" customHeight="false" outlineLevel="0" collapsed="false">
      <c r="A10" s="11" t="s">
        <v>69</v>
      </c>
      <c r="B10" s="11" t="n">
        <v>3</v>
      </c>
      <c r="C10" s="11" t="s">
        <v>132</v>
      </c>
      <c r="D10" s="11" t="s">
        <v>215</v>
      </c>
      <c r="E10" s="11" t="s">
        <v>212</v>
      </c>
      <c r="F10" s="5" t="n">
        <v>38000</v>
      </c>
      <c r="G10" s="11" t="s">
        <v>213</v>
      </c>
      <c r="H10" s="11" t="s">
        <v>65</v>
      </c>
      <c r="I10" s="8" t="n">
        <v>3910000</v>
      </c>
      <c r="J10" s="9" t="n">
        <f aca="false">I10/INDEX(FX!$B$2:$B$8,MATCH(H10,FX!$A$2:$A$8,0))</f>
        <v>1064669.84343091</v>
      </c>
    </row>
    <row r="11" customFormat="false" ht="15" hidden="false" customHeight="false" outlineLevel="0" collapsed="false">
      <c r="A11" s="11" t="s">
        <v>69</v>
      </c>
      <c r="B11" s="11" t="n">
        <v>4</v>
      </c>
      <c r="C11" s="11" t="s">
        <v>132</v>
      </c>
      <c r="D11" s="11" t="s">
        <v>219</v>
      </c>
      <c r="E11" s="11" t="s">
        <v>212</v>
      </c>
      <c r="F11" s="5" t="n">
        <v>38000</v>
      </c>
      <c r="G11" s="11" t="s">
        <v>213</v>
      </c>
      <c r="H11" s="11" t="s">
        <v>65</v>
      </c>
      <c r="I11" s="8" t="n">
        <v>980000</v>
      </c>
      <c r="J11" s="9" t="n">
        <f aca="false">I11/INDEX(FX!$B$2:$B$8,MATCH(H11,FX!$A$2:$A$8,0))</f>
        <v>266848.196051736</v>
      </c>
    </row>
    <row r="12" customFormat="false" ht="15" hidden="false" customHeight="false" outlineLevel="0" collapsed="false">
      <c r="A12" s="11" t="s">
        <v>69</v>
      </c>
      <c r="B12" s="11" t="n">
        <v>5</v>
      </c>
      <c r="C12" s="11" t="s">
        <v>216</v>
      </c>
      <c r="D12" s="11" t="s">
        <v>211</v>
      </c>
      <c r="E12" s="11" t="s">
        <v>217</v>
      </c>
      <c r="F12" s="5" t="n">
        <v>21000</v>
      </c>
      <c r="G12" s="11" t="s">
        <v>218</v>
      </c>
      <c r="H12" s="11" t="s">
        <v>65</v>
      </c>
      <c r="I12" s="8" t="n">
        <v>1705000</v>
      </c>
      <c r="J12" s="9" t="n">
        <f aca="false">I12/INDEX(FX!$B$2:$B$8,MATCH(H12,FX!$A$2:$A$8,0))</f>
        <v>464261.4023145</v>
      </c>
    </row>
    <row r="13" customFormat="false" ht="15" hidden="false" customHeight="false" outlineLevel="0" collapsed="false">
      <c r="A13" s="11" t="s">
        <v>69</v>
      </c>
      <c r="B13" s="11" t="n">
        <v>6</v>
      </c>
      <c r="C13" s="11" t="s">
        <v>216</v>
      </c>
      <c r="D13" s="11" t="s">
        <v>214</v>
      </c>
      <c r="E13" s="11" t="s">
        <v>217</v>
      </c>
      <c r="F13" s="5" t="n">
        <v>21000</v>
      </c>
      <c r="G13" s="11" t="s">
        <v>218</v>
      </c>
      <c r="H13" s="11" t="s">
        <v>65</v>
      </c>
      <c r="I13" s="8" t="n">
        <v>1705000</v>
      </c>
      <c r="J13" s="9" t="n">
        <f aca="false">I13/INDEX(FX!$B$2:$B$8,MATCH(H13,FX!$A$2:$A$8,0))</f>
        <v>464261.4023145</v>
      </c>
    </row>
    <row r="14" customFormat="false" ht="15" hidden="false" customHeight="false" outlineLevel="0" collapsed="false">
      <c r="A14" s="11" t="s">
        <v>69</v>
      </c>
      <c r="B14" s="11" t="n">
        <v>7</v>
      </c>
      <c r="C14" s="11" t="s">
        <v>216</v>
      </c>
      <c r="D14" s="11" t="s">
        <v>215</v>
      </c>
      <c r="E14" s="11" t="s">
        <v>217</v>
      </c>
      <c r="F14" s="5" t="n">
        <v>21000</v>
      </c>
      <c r="G14" s="11" t="s">
        <v>218</v>
      </c>
      <c r="H14" s="11" t="s">
        <v>65</v>
      </c>
      <c r="I14" s="8" t="n">
        <v>2270000</v>
      </c>
      <c r="J14" s="9" t="n">
        <f aca="false">I14/INDEX(FX!$B$2:$B$8,MATCH(H14,FX!$A$2:$A$8,0))</f>
        <v>618107.556160654</v>
      </c>
    </row>
    <row r="15" customFormat="false" ht="15" hidden="false" customHeight="false" outlineLevel="0" collapsed="false">
      <c r="A15" s="11" t="s">
        <v>69</v>
      </c>
      <c r="B15" s="11" t="n">
        <v>8</v>
      </c>
      <c r="C15" s="11" t="s">
        <v>220</v>
      </c>
      <c r="D15" s="11" t="s">
        <v>211</v>
      </c>
      <c r="E15" s="11" t="s">
        <v>221</v>
      </c>
      <c r="F15" s="5" t="n">
        <v>41000</v>
      </c>
      <c r="G15" s="11" t="s">
        <v>222</v>
      </c>
      <c r="H15" s="11" t="s">
        <v>65</v>
      </c>
      <c r="I15" s="8" t="n">
        <v>440000</v>
      </c>
      <c r="J15" s="9" t="n">
        <f aca="false">I15/INDEX(FX!$B$2:$B$8,MATCH(H15,FX!$A$2:$A$8,0))</f>
        <v>119809.394145677</v>
      </c>
    </row>
    <row r="16" customFormat="false" ht="15" hidden="false" customHeight="false" outlineLevel="0" collapsed="false">
      <c r="A16" s="11" t="s">
        <v>69</v>
      </c>
      <c r="B16" s="11" t="n">
        <v>9</v>
      </c>
      <c r="C16" s="11" t="s">
        <v>220</v>
      </c>
      <c r="D16" s="11" t="s">
        <v>214</v>
      </c>
      <c r="E16" s="11" t="s">
        <v>221</v>
      </c>
      <c r="F16" s="5" t="n">
        <v>41000</v>
      </c>
      <c r="G16" s="11" t="s">
        <v>222</v>
      </c>
      <c r="H16" s="11" t="s">
        <v>65</v>
      </c>
      <c r="I16" s="8" t="n">
        <v>440000</v>
      </c>
      <c r="J16" s="9" t="n">
        <f aca="false">I16/INDEX(FX!$B$2:$B$8,MATCH(H16,FX!$A$2:$A$8,0))</f>
        <v>119809.394145677</v>
      </c>
    </row>
    <row r="17" customFormat="false" ht="15" hidden="false" customHeight="false" outlineLevel="0" collapsed="false">
      <c r="A17" s="11" t="s">
        <v>69</v>
      </c>
      <c r="B17" s="11" t="n">
        <v>10</v>
      </c>
      <c r="C17" s="11" t="s">
        <v>220</v>
      </c>
      <c r="D17" s="11" t="s">
        <v>215</v>
      </c>
      <c r="E17" s="11" t="s">
        <v>221</v>
      </c>
      <c r="F17" s="5" t="n">
        <v>41000</v>
      </c>
      <c r="G17" s="11" t="s">
        <v>222</v>
      </c>
      <c r="H17" s="11" t="s">
        <v>65</v>
      </c>
      <c r="I17" s="8" t="n">
        <v>585000</v>
      </c>
      <c r="J17" s="9" t="n">
        <f aca="false">I17/INDEX(FX!$B$2:$B$8,MATCH(H17,FX!$A$2:$A$8,0))</f>
        <v>159292.03539823</v>
      </c>
    </row>
    <row r="18" customFormat="false" ht="15" hidden="false" customHeight="false" outlineLevel="0" collapsed="false">
      <c r="A18" s="11" t="s">
        <v>83</v>
      </c>
      <c r="B18" s="11" t="n">
        <v>1</v>
      </c>
      <c r="C18" s="11" t="s">
        <v>132</v>
      </c>
      <c r="D18" s="11" t="s">
        <v>211</v>
      </c>
      <c r="E18" s="11" t="s">
        <v>212</v>
      </c>
      <c r="F18" s="5" t="n">
        <v>145000</v>
      </c>
      <c r="G18" s="11" t="s">
        <v>213</v>
      </c>
      <c r="H18" s="11" t="s">
        <v>94</v>
      </c>
      <c r="I18" s="8" t="n">
        <v>7060000</v>
      </c>
      <c r="J18" s="9" t="n">
        <f aca="false">I18/INDEX(FX!$B$2:$B$8,MATCH(H18,FX!$A$2:$A$8,0))</f>
        <v>1882666.66666667</v>
      </c>
    </row>
    <row r="19" customFormat="false" ht="15" hidden="false" customHeight="false" outlineLevel="0" collapsed="false">
      <c r="A19" s="11" t="s">
        <v>83</v>
      </c>
      <c r="B19" s="11" t="n">
        <v>2</v>
      </c>
      <c r="C19" s="11" t="s">
        <v>132</v>
      </c>
      <c r="D19" s="11" t="s">
        <v>214</v>
      </c>
      <c r="E19" s="11" t="s">
        <v>212</v>
      </c>
      <c r="F19" s="5" t="n">
        <v>145000</v>
      </c>
      <c r="G19" s="11" t="s">
        <v>213</v>
      </c>
      <c r="H19" s="11" t="s">
        <v>94</v>
      </c>
      <c r="I19" s="8" t="n">
        <v>7060000</v>
      </c>
      <c r="J19" s="9" t="n">
        <f aca="false">I19/INDEX(FX!$B$2:$B$8,MATCH(H19,FX!$A$2:$A$8,0))</f>
        <v>1882666.66666667</v>
      </c>
    </row>
    <row r="20" customFormat="false" ht="15" hidden="false" customHeight="false" outlineLevel="0" collapsed="false">
      <c r="A20" s="11" t="s">
        <v>83</v>
      </c>
      <c r="B20" s="11" t="n">
        <v>3</v>
      </c>
      <c r="C20" s="11" t="s">
        <v>220</v>
      </c>
      <c r="D20" s="11" t="s">
        <v>211</v>
      </c>
      <c r="E20" s="11" t="s">
        <v>221</v>
      </c>
      <c r="F20" s="5" t="n">
        <v>16000</v>
      </c>
      <c r="G20" s="11" t="s">
        <v>222</v>
      </c>
      <c r="H20" s="11" t="s">
        <v>94</v>
      </c>
      <c r="I20" s="8" t="n">
        <v>165000</v>
      </c>
      <c r="J20" s="9" t="n">
        <f aca="false">I20/INDEX(FX!$B$2:$B$8,MATCH(H20,FX!$A$2:$A$8,0))</f>
        <v>44000</v>
      </c>
    </row>
    <row r="21" customFormat="false" ht="15" hidden="false" customHeight="false" outlineLevel="0" collapsed="false">
      <c r="A21" s="11" t="s">
        <v>83</v>
      </c>
      <c r="B21" s="11" t="n">
        <v>4</v>
      </c>
      <c r="C21" s="11" t="s">
        <v>220</v>
      </c>
      <c r="D21" s="11" t="s">
        <v>214</v>
      </c>
      <c r="E21" s="11" t="s">
        <v>221</v>
      </c>
      <c r="F21" s="5" t="n">
        <v>16000</v>
      </c>
      <c r="G21" s="11" t="s">
        <v>222</v>
      </c>
      <c r="H21" s="11" t="s">
        <v>94</v>
      </c>
      <c r="I21" s="8" t="n">
        <v>165000</v>
      </c>
      <c r="J21" s="9" t="n">
        <f aca="false">I21/INDEX(FX!$B$2:$B$8,MATCH(H21,FX!$A$2:$A$8,0))</f>
        <v>44000</v>
      </c>
    </row>
    <row r="22" customFormat="false" ht="15" hidden="false" customHeight="false" outlineLevel="0" collapsed="false">
      <c r="A22" s="11" t="s">
        <v>97</v>
      </c>
      <c r="B22" s="11" t="n">
        <v>1</v>
      </c>
      <c r="C22" s="11" t="s">
        <v>132</v>
      </c>
      <c r="D22" s="11" t="s">
        <v>211</v>
      </c>
      <c r="E22" s="11" t="s">
        <v>212</v>
      </c>
      <c r="F22" s="5" t="n">
        <v>48000</v>
      </c>
      <c r="G22" s="11" t="s">
        <v>213</v>
      </c>
      <c r="H22" s="11" t="s">
        <v>65</v>
      </c>
      <c r="I22" s="8" t="n">
        <v>1890000</v>
      </c>
      <c r="J22" s="9" t="n">
        <f aca="false">I22/INDEX(FX!$B$2:$B$8,MATCH(H22,FX!$A$2:$A$8,0))</f>
        <v>514635.806671205</v>
      </c>
    </row>
    <row r="23" customFormat="false" ht="15" hidden="false" customHeight="false" outlineLevel="0" collapsed="false">
      <c r="A23" s="11" t="s">
        <v>97</v>
      </c>
      <c r="B23" s="11" t="n">
        <v>2</v>
      </c>
      <c r="C23" s="11" t="s">
        <v>132</v>
      </c>
      <c r="D23" s="11" t="s">
        <v>214</v>
      </c>
      <c r="E23" s="11" t="s">
        <v>212</v>
      </c>
      <c r="F23" s="5" t="n">
        <v>48000</v>
      </c>
      <c r="G23" s="11" t="s">
        <v>213</v>
      </c>
      <c r="H23" s="11" t="s">
        <v>65</v>
      </c>
      <c r="I23" s="8" t="n">
        <v>1890000</v>
      </c>
      <c r="J23" s="9" t="n">
        <f aca="false">I23/INDEX(FX!$B$2:$B$8,MATCH(H23,FX!$A$2:$A$8,0))</f>
        <v>514635.806671205</v>
      </c>
    </row>
    <row r="24" customFormat="false" ht="15" hidden="false" customHeight="false" outlineLevel="0" collapsed="false">
      <c r="A24" s="11" t="s">
        <v>97</v>
      </c>
      <c r="B24" s="11" t="n">
        <v>3</v>
      </c>
      <c r="C24" s="11" t="s">
        <v>132</v>
      </c>
      <c r="D24" s="11" t="s">
        <v>215</v>
      </c>
      <c r="E24" s="11" t="s">
        <v>212</v>
      </c>
      <c r="F24" s="5" t="n">
        <v>48000</v>
      </c>
      <c r="G24" s="11" t="s">
        <v>213</v>
      </c>
      <c r="H24" s="11" t="s">
        <v>65</v>
      </c>
      <c r="I24" s="8" t="n">
        <v>2520000</v>
      </c>
      <c r="J24" s="9" t="n">
        <f aca="false">I24/INDEX(FX!$B$2:$B$8,MATCH(H24,FX!$A$2:$A$8,0))</f>
        <v>686181.075561607</v>
      </c>
    </row>
    <row r="25" customFormat="false" ht="15" hidden="false" customHeight="false" outlineLevel="0" collapsed="false">
      <c r="A25" s="11" t="s">
        <v>97</v>
      </c>
      <c r="B25" s="11" t="n">
        <v>4</v>
      </c>
      <c r="C25" s="11" t="s">
        <v>220</v>
      </c>
      <c r="D25" s="11" t="s">
        <v>211</v>
      </c>
      <c r="E25" s="11" t="s">
        <v>221</v>
      </c>
      <c r="F25" s="5" t="n">
        <v>95000</v>
      </c>
      <c r="G25" s="11" t="s">
        <v>222</v>
      </c>
      <c r="H25" s="11" t="s">
        <v>65</v>
      </c>
      <c r="I25" s="8" t="n">
        <v>760000</v>
      </c>
      <c r="J25" s="9" t="n">
        <f aca="false">I25/INDEX(FX!$B$2:$B$8,MATCH(H25,FX!$A$2:$A$8,0))</f>
        <v>206943.498978897</v>
      </c>
    </row>
    <row r="26" customFormat="false" ht="15" hidden="false" customHeight="false" outlineLevel="0" collapsed="false">
      <c r="A26" s="11" t="s">
        <v>97</v>
      </c>
      <c r="B26" s="11" t="n">
        <v>5</v>
      </c>
      <c r="C26" s="11" t="s">
        <v>220</v>
      </c>
      <c r="D26" s="11" t="s">
        <v>214</v>
      </c>
      <c r="E26" s="11" t="s">
        <v>221</v>
      </c>
      <c r="F26" s="5" t="n">
        <v>95000</v>
      </c>
      <c r="G26" s="11" t="s">
        <v>222</v>
      </c>
      <c r="H26" s="11" t="s">
        <v>65</v>
      </c>
      <c r="I26" s="8" t="n">
        <v>760000</v>
      </c>
      <c r="J26" s="9" t="n">
        <f aca="false">I26/INDEX(FX!$B$2:$B$8,MATCH(H26,FX!$A$2:$A$8,0))</f>
        <v>206943.498978897</v>
      </c>
    </row>
    <row r="27" customFormat="false" ht="15" hidden="false" customHeight="false" outlineLevel="0" collapsed="false">
      <c r="A27" s="11" t="s">
        <v>97</v>
      </c>
      <c r="B27" s="11" t="n">
        <v>6</v>
      </c>
      <c r="C27" s="11" t="s">
        <v>220</v>
      </c>
      <c r="D27" s="11" t="s">
        <v>215</v>
      </c>
      <c r="E27" s="11" t="s">
        <v>221</v>
      </c>
      <c r="F27" s="5" t="n">
        <v>95000</v>
      </c>
      <c r="G27" s="11" t="s">
        <v>222</v>
      </c>
      <c r="H27" s="11" t="s">
        <v>65</v>
      </c>
      <c r="I27" s="8" t="n">
        <v>1015000</v>
      </c>
      <c r="J27" s="9" t="n">
        <f aca="false">I27/INDEX(FX!$B$2:$B$8,MATCH(H27,FX!$A$2:$A$8,0))</f>
        <v>276378.488767869</v>
      </c>
    </row>
    <row r="28" customFormat="false" ht="15" hidden="false" customHeight="false" outlineLevel="0" collapsed="false">
      <c r="A28" s="11" t="s">
        <v>97</v>
      </c>
      <c r="B28" s="11" t="n">
        <v>7</v>
      </c>
      <c r="C28" s="11" t="s">
        <v>184</v>
      </c>
      <c r="D28" s="11" t="s">
        <v>211</v>
      </c>
      <c r="E28" s="11" t="s">
        <v>223</v>
      </c>
      <c r="F28" s="5" t="n">
        <v>32</v>
      </c>
      <c r="G28" s="11" t="s">
        <v>224</v>
      </c>
      <c r="H28" s="11" t="s">
        <v>65</v>
      </c>
      <c r="I28" s="8" t="n">
        <v>940000</v>
      </c>
      <c r="J28" s="9" t="n">
        <f aca="false">I28/INDEX(FX!$B$2:$B$8,MATCH(H28,FX!$A$2:$A$8,0))</f>
        <v>255956.432947583</v>
      </c>
    </row>
    <row r="29" customFormat="false" ht="15" hidden="false" customHeight="false" outlineLevel="0" collapsed="false">
      <c r="A29" s="11" t="s">
        <v>97</v>
      </c>
      <c r="B29" s="11" t="n">
        <v>8</v>
      </c>
      <c r="C29" s="11" t="s">
        <v>184</v>
      </c>
      <c r="D29" s="11" t="s">
        <v>214</v>
      </c>
      <c r="E29" s="11" t="s">
        <v>223</v>
      </c>
      <c r="F29" s="5" t="n">
        <v>32</v>
      </c>
      <c r="G29" s="11" t="s">
        <v>224</v>
      </c>
      <c r="H29" s="11" t="s">
        <v>65</v>
      </c>
      <c r="I29" s="8" t="n">
        <v>535000</v>
      </c>
      <c r="J29" s="9" t="n">
        <f aca="false">I29/INDEX(FX!$B$2:$B$8,MATCH(H29,FX!$A$2:$A$8,0))</f>
        <v>145677.33151804</v>
      </c>
    </row>
    <row r="30" customFormat="false" ht="15" hidden="false" customHeight="false" outlineLevel="0" collapsed="false">
      <c r="A30" s="11" t="s">
        <v>106</v>
      </c>
      <c r="B30" s="11" t="n">
        <v>1</v>
      </c>
      <c r="C30" s="11" t="s">
        <v>132</v>
      </c>
      <c r="D30" s="11" t="s">
        <v>211</v>
      </c>
      <c r="E30" s="11" t="s">
        <v>212</v>
      </c>
      <c r="F30" s="5" t="n">
        <v>18500</v>
      </c>
      <c r="G30" s="11" t="s">
        <v>213</v>
      </c>
      <c r="H30" s="11" t="s">
        <v>116</v>
      </c>
      <c r="I30" s="8" t="n">
        <v>218000</v>
      </c>
      <c r="J30" s="9" t="n">
        <f aca="false">I30/INDEX(FX!$B$2:$B$8,MATCH(H30,FX!$A$2:$A$8,0))</f>
        <v>236956.52173913</v>
      </c>
    </row>
    <row r="31" customFormat="false" ht="15" hidden="false" customHeight="false" outlineLevel="0" collapsed="false">
      <c r="A31" s="11" t="s">
        <v>106</v>
      </c>
      <c r="B31" s="11" t="n">
        <v>2</v>
      </c>
      <c r="C31" s="11" t="s">
        <v>132</v>
      </c>
      <c r="D31" s="11" t="s">
        <v>214</v>
      </c>
      <c r="E31" s="11" t="s">
        <v>212</v>
      </c>
      <c r="F31" s="5" t="n">
        <v>18500</v>
      </c>
      <c r="G31" s="11" t="s">
        <v>213</v>
      </c>
      <c r="H31" s="11" t="s">
        <v>116</v>
      </c>
      <c r="I31" s="8" t="n">
        <v>218000</v>
      </c>
      <c r="J31" s="9" t="n">
        <f aca="false">I31/INDEX(FX!$B$2:$B$8,MATCH(H31,FX!$A$2:$A$8,0))</f>
        <v>236956.52173913</v>
      </c>
    </row>
    <row r="32" customFormat="false" ht="15" hidden="false" customHeight="false" outlineLevel="0" collapsed="false">
      <c r="A32" s="11" t="s">
        <v>106</v>
      </c>
      <c r="B32" s="11" t="n">
        <v>3</v>
      </c>
      <c r="C32" s="11" t="s">
        <v>132</v>
      </c>
      <c r="D32" s="11" t="s">
        <v>215</v>
      </c>
      <c r="E32" s="11" t="s">
        <v>212</v>
      </c>
      <c r="F32" s="5" t="n">
        <v>18500</v>
      </c>
      <c r="G32" s="11" t="s">
        <v>213</v>
      </c>
      <c r="H32" s="11" t="s">
        <v>116</v>
      </c>
      <c r="I32" s="8" t="n">
        <v>290500</v>
      </c>
      <c r="J32" s="9" t="n">
        <f aca="false">I32/INDEX(FX!$B$2:$B$8,MATCH(H32,FX!$A$2:$A$8,0))</f>
        <v>315760.869565217</v>
      </c>
    </row>
    <row r="33" customFormat="false" ht="15" hidden="false" customHeight="false" outlineLevel="0" collapsed="false">
      <c r="A33" s="11" t="s">
        <v>106</v>
      </c>
      <c r="B33" s="11" t="n">
        <v>4</v>
      </c>
      <c r="C33" s="11" t="s">
        <v>216</v>
      </c>
      <c r="D33" s="11" t="s">
        <v>211</v>
      </c>
      <c r="E33" s="11" t="s">
        <v>217</v>
      </c>
      <c r="F33" s="5" t="n">
        <v>14000</v>
      </c>
      <c r="G33" s="11" t="s">
        <v>218</v>
      </c>
      <c r="H33" s="11" t="s">
        <v>116</v>
      </c>
      <c r="I33" s="8" t="n">
        <v>107500</v>
      </c>
      <c r="J33" s="9" t="n">
        <f aca="false">I33/INDEX(FX!$B$2:$B$8,MATCH(H33,FX!$A$2:$A$8,0))</f>
        <v>116847.826086957</v>
      </c>
    </row>
    <row r="34" customFormat="false" ht="15" hidden="false" customHeight="false" outlineLevel="0" collapsed="false">
      <c r="A34" s="11" t="s">
        <v>106</v>
      </c>
      <c r="B34" s="11" t="n">
        <v>5</v>
      </c>
      <c r="C34" s="11" t="s">
        <v>216</v>
      </c>
      <c r="D34" s="11" t="s">
        <v>214</v>
      </c>
      <c r="E34" s="11" t="s">
        <v>217</v>
      </c>
      <c r="F34" s="5" t="n">
        <v>14000</v>
      </c>
      <c r="G34" s="11" t="s">
        <v>218</v>
      </c>
      <c r="H34" s="11" t="s">
        <v>116</v>
      </c>
      <c r="I34" s="8" t="n">
        <v>107500</v>
      </c>
      <c r="J34" s="9" t="n">
        <f aca="false">I34/INDEX(FX!$B$2:$B$8,MATCH(H34,FX!$A$2:$A$8,0))</f>
        <v>116847.826086957</v>
      </c>
    </row>
    <row r="35" customFormat="false" ht="15" hidden="false" customHeight="false" outlineLevel="0" collapsed="false">
      <c r="A35" s="11" t="s">
        <v>106</v>
      </c>
      <c r="B35" s="11" t="n">
        <v>6</v>
      </c>
      <c r="C35" s="11" t="s">
        <v>216</v>
      </c>
      <c r="D35" s="11" t="s">
        <v>215</v>
      </c>
      <c r="E35" s="11" t="s">
        <v>217</v>
      </c>
      <c r="F35" s="5" t="n">
        <v>14000</v>
      </c>
      <c r="G35" s="11" t="s">
        <v>218</v>
      </c>
      <c r="H35" s="11" t="s">
        <v>116</v>
      </c>
      <c r="I35" s="8" t="n">
        <v>143500</v>
      </c>
      <c r="J35" s="9" t="n">
        <f aca="false">I35/INDEX(FX!$B$2:$B$8,MATCH(H35,FX!$A$2:$A$8,0))</f>
        <v>155978.260869565</v>
      </c>
    </row>
    <row r="36" customFormat="false" ht="15" hidden="false" customHeight="false" outlineLevel="0" collapsed="false">
      <c r="A36" s="11" t="s">
        <v>119</v>
      </c>
      <c r="B36" s="11" t="n">
        <v>1</v>
      </c>
      <c r="C36" s="11" t="s">
        <v>132</v>
      </c>
      <c r="D36" s="11" t="s">
        <v>211</v>
      </c>
      <c r="E36" s="11" t="s">
        <v>212</v>
      </c>
      <c r="F36" s="5" t="n">
        <v>9800</v>
      </c>
      <c r="G36" s="11" t="s">
        <v>213</v>
      </c>
      <c r="H36" s="11" t="s">
        <v>116</v>
      </c>
      <c r="I36" s="8" t="n">
        <v>219000</v>
      </c>
      <c r="J36" s="9" t="n">
        <f aca="false">I36/INDEX(FX!$B$2:$B$8,MATCH(H36,FX!$A$2:$A$8,0))</f>
        <v>238043.47826087</v>
      </c>
    </row>
    <row r="37" customFormat="false" ht="15" hidden="false" customHeight="false" outlineLevel="0" collapsed="false">
      <c r="A37" s="11" t="s">
        <v>119</v>
      </c>
      <c r="B37" s="11" t="n">
        <v>2</v>
      </c>
      <c r="C37" s="11" t="s">
        <v>132</v>
      </c>
      <c r="D37" s="11" t="s">
        <v>214</v>
      </c>
      <c r="E37" s="11" t="s">
        <v>212</v>
      </c>
      <c r="F37" s="5" t="n">
        <v>9800</v>
      </c>
      <c r="G37" s="11" t="s">
        <v>213</v>
      </c>
      <c r="H37" s="11" t="s">
        <v>116</v>
      </c>
      <c r="I37" s="8" t="n">
        <v>219000</v>
      </c>
      <c r="J37" s="9" t="n">
        <f aca="false">I37/INDEX(FX!$B$2:$B$8,MATCH(H37,FX!$A$2:$A$8,0))</f>
        <v>238043.47826087</v>
      </c>
    </row>
    <row r="38" customFormat="false" ht="15" hidden="false" customHeight="false" outlineLevel="0" collapsed="false">
      <c r="A38" s="11" t="s">
        <v>119</v>
      </c>
      <c r="B38" s="11" t="n">
        <v>3</v>
      </c>
      <c r="C38" s="11" t="s">
        <v>216</v>
      </c>
      <c r="D38" s="11" t="s">
        <v>211</v>
      </c>
      <c r="E38" s="11" t="s">
        <v>217</v>
      </c>
      <c r="F38" s="5" t="n">
        <v>6500</v>
      </c>
      <c r="G38" s="11" t="s">
        <v>218</v>
      </c>
      <c r="H38" s="11" t="s">
        <v>116</v>
      </c>
      <c r="I38" s="8" t="n">
        <v>133000</v>
      </c>
      <c r="J38" s="9" t="n">
        <f aca="false">I38/INDEX(FX!$B$2:$B$8,MATCH(H38,FX!$A$2:$A$8,0))</f>
        <v>144565.217391304</v>
      </c>
    </row>
    <row r="39" customFormat="false" ht="15" hidden="false" customHeight="false" outlineLevel="0" collapsed="false">
      <c r="A39" s="11" t="s">
        <v>119</v>
      </c>
      <c r="B39" s="11" t="n">
        <v>4</v>
      </c>
      <c r="C39" s="11" t="s">
        <v>216</v>
      </c>
      <c r="D39" s="11" t="s">
        <v>214</v>
      </c>
      <c r="E39" s="11" t="s">
        <v>217</v>
      </c>
      <c r="F39" s="5" t="n">
        <v>6500</v>
      </c>
      <c r="G39" s="11" t="s">
        <v>218</v>
      </c>
      <c r="H39" s="11" t="s">
        <v>116</v>
      </c>
      <c r="I39" s="8" t="n">
        <v>133000</v>
      </c>
      <c r="J39" s="9" t="n">
        <f aca="false">I39/INDEX(FX!$B$2:$B$8,MATCH(H39,FX!$A$2:$A$8,0))</f>
        <v>144565.217391304</v>
      </c>
    </row>
    <row r="40" customFormat="false" ht="15" hidden="false" customHeight="false" outlineLevel="0" collapsed="false">
      <c r="A40" s="11" t="s">
        <v>119</v>
      </c>
      <c r="B40" s="11" t="n">
        <v>5</v>
      </c>
      <c r="C40" s="11" t="s">
        <v>220</v>
      </c>
      <c r="D40" s="11" t="s">
        <v>211</v>
      </c>
      <c r="E40" s="11" t="s">
        <v>221</v>
      </c>
      <c r="F40" s="5" t="n">
        <v>2800</v>
      </c>
      <c r="G40" s="11" t="s">
        <v>222</v>
      </c>
      <c r="H40" s="11" t="s">
        <v>116</v>
      </c>
      <c r="I40" s="8" t="n">
        <v>5800</v>
      </c>
      <c r="J40" s="9" t="n">
        <f aca="false">I40/INDEX(FX!$B$2:$B$8,MATCH(H40,FX!$A$2:$A$8,0))</f>
        <v>6304.34782608696</v>
      </c>
    </row>
    <row r="41" customFormat="false" ht="15" hidden="false" customHeight="false" outlineLevel="0" collapsed="false">
      <c r="A41" s="11" t="s">
        <v>119</v>
      </c>
      <c r="B41" s="11" t="n">
        <v>6</v>
      </c>
      <c r="C41" s="11" t="s">
        <v>220</v>
      </c>
      <c r="D41" s="11" t="s">
        <v>214</v>
      </c>
      <c r="E41" s="11" t="s">
        <v>221</v>
      </c>
      <c r="F41" s="5" t="n">
        <v>2800</v>
      </c>
      <c r="G41" s="11" t="s">
        <v>222</v>
      </c>
      <c r="H41" s="11" t="s">
        <v>116</v>
      </c>
      <c r="I41" s="8" t="n">
        <v>5800</v>
      </c>
      <c r="J41" s="9" t="n">
        <f aca="false">I41/INDEX(FX!$B$2:$B$8,MATCH(H41,FX!$A$2:$A$8,0))</f>
        <v>6304.34782608696</v>
      </c>
    </row>
    <row r="42" customFormat="false" ht="15" hidden="false" customHeight="false" outlineLevel="0" collapsed="false">
      <c r="A42" s="11" t="s">
        <v>126</v>
      </c>
      <c r="B42" s="11" t="n">
        <v>1</v>
      </c>
      <c r="C42" s="11" t="s">
        <v>132</v>
      </c>
      <c r="D42" s="11" t="s">
        <v>225</v>
      </c>
      <c r="E42" s="11" t="s">
        <v>212</v>
      </c>
      <c r="F42" s="5" t="n">
        <v>74000</v>
      </c>
      <c r="G42" s="11" t="s">
        <v>213</v>
      </c>
      <c r="H42" s="11" t="s">
        <v>136</v>
      </c>
      <c r="I42" s="8" t="n">
        <v>376000</v>
      </c>
      <c r="J42" s="9" t="n">
        <f aca="false">I42/INDEX(FX!$B$2:$B$8,MATCH(H42,FX!$A$2:$A$8,0))</f>
        <v>280597.014925373</v>
      </c>
    </row>
    <row r="43" customFormat="false" ht="15" hidden="false" customHeight="false" outlineLevel="0" collapsed="false">
      <c r="A43" s="11" t="s">
        <v>126</v>
      </c>
      <c r="B43" s="11" t="n">
        <v>2</v>
      </c>
      <c r="C43" s="11" t="s">
        <v>132</v>
      </c>
      <c r="D43" s="11" t="s">
        <v>211</v>
      </c>
      <c r="E43" s="11" t="s">
        <v>212</v>
      </c>
      <c r="F43" s="5" t="n">
        <v>74000</v>
      </c>
      <c r="G43" s="11" t="s">
        <v>213</v>
      </c>
      <c r="H43" s="11" t="s">
        <v>136</v>
      </c>
      <c r="I43" s="8" t="n">
        <v>1127000</v>
      </c>
      <c r="J43" s="9" t="n">
        <f aca="false">I43/INDEX(FX!$B$2:$B$8,MATCH(H43,FX!$A$2:$A$8,0))</f>
        <v>841044.776119403</v>
      </c>
    </row>
    <row r="44" customFormat="false" ht="15" hidden="false" customHeight="false" outlineLevel="0" collapsed="false">
      <c r="A44" s="11" t="s">
        <v>139</v>
      </c>
      <c r="B44" s="11" t="n">
        <v>1</v>
      </c>
      <c r="C44" s="11" t="s">
        <v>132</v>
      </c>
      <c r="D44" s="11" t="s">
        <v>211</v>
      </c>
      <c r="E44" s="11" t="s">
        <v>212</v>
      </c>
      <c r="F44" s="5" t="n">
        <v>41000</v>
      </c>
      <c r="G44" s="11" t="s">
        <v>213</v>
      </c>
      <c r="H44" s="11" t="s">
        <v>136</v>
      </c>
      <c r="I44" s="8" t="n">
        <v>659000</v>
      </c>
      <c r="J44" s="9" t="n">
        <f aca="false">I44/INDEX(FX!$B$2:$B$8,MATCH(H44,FX!$A$2:$A$8,0))</f>
        <v>491791.044776119</v>
      </c>
    </row>
    <row r="45" customFormat="false" ht="15" hidden="false" customHeight="false" outlineLevel="0" collapsed="false">
      <c r="A45" s="11" t="s">
        <v>139</v>
      </c>
      <c r="B45" s="11" t="n">
        <v>2</v>
      </c>
      <c r="C45" s="11" t="s">
        <v>132</v>
      </c>
      <c r="D45" s="11" t="s">
        <v>214</v>
      </c>
      <c r="E45" s="11" t="s">
        <v>212</v>
      </c>
      <c r="F45" s="5" t="n">
        <v>41000</v>
      </c>
      <c r="G45" s="11" t="s">
        <v>213</v>
      </c>
      <c r="H45" s="11" t="s">
        <v>136</v>
      </c>
      <c r="I45" s="8" t="n">
        <v>659000</v>
      </c>
      <c r="J45" s="9" t="n">
        <f aca="false">I45/INDEX(FX!$B$2:$B$8,MATCH(H45,FX!$A$2:$A$8,0))</f>
        <v>491791.044776119</v>
      </c>
    </row>
    <row r="46" customFormat="false" ht="15" hidden="false" customHeight="false" outlineLevel="0" collapsed="false">
      <c r="A46" s="11" t="s">
        <v>139</v>
      </c>
      <c r="B46" s="11" t="n">
        <v>3</v>
      </c>
      <c r="C46" s="11" t="s">
        <v>132</v>
      </c>
      <c r="D46" s="11" t="s">
        <v>215</v>
      </c>
      <c r="E46" s="11" t="s">
        <v>212</v>
      </c>
      <c r="F46" s="5" t="n">
        <v>41000</v>
      </c>
      <c r="G46" s="11" t="s">
        <v>213</v>
      </c>
      <c r="H46" s="11" t="s">
        <v>136</v>
      </c>
      <c r="I46" s="8" t="n">
        <v>879000</v>
      </c>
      <c r="J46" s="9" t="n">
        <f aca="false">I46/INDEX(FX!$B$2:$B$8,MATCH(H46,FX!$A$2:$A$8,0))</f>
        <v>655970.149253731</v>
      </c>
    </row>
    <row r="47" customFormat="false" ht="15" hidden="false" customHeight="false" outlineLevel="0" collapsed="false">
      <c r="A47" s="11" t="s">
        <v>139</v>
      </c>
      <c r="B47" s="11" t="n">
        <v>4</v>
      </c>
      <c r="C47" s="11" t="s">
        <v>132</v>
      </c>
      <c r="D47" s="11" t="s">
        <v>226</v>
      </c>
      <c r="E47" s="11" t="s">
        <v>212</v>
      </c>
      <c r="F47" s="5" t="n">
        <v>41000</v>
      </c>
      <c r="G47" s="11" t="s">
        <v>213</v>
      </c>
      <c r="H47" s="11" t="s">
        <v>136</v>
      </c>
      <c r="I47" s="8" t="n">
        <v>351000</v>
      </c>
      <c r="J47" s="9" t="n">
        <f aca="false">I47/INDEX(FX!$B$2:$B$8,MATCH(H47,FX!$A$2:$A$8,0))</f>
        <v>261940.298507463</v>
      </c>
    </row>
    <row r="48" customFormat="false" ht="15" hidden="false" customHeight="false" outlineLevel="0" collapsed="false">
      <c r="A48" s="11" t="s">
        <v>139</v>
      </c>
      <c r="B48" s="11" t="n">
        <v>5</v>
      </c>
      <c r="C48" s="11" t="s">
        <v>216</v>
      </c>
      <c r="D48" s="11" t="s">
        <v>211</v>
      </c>
      <c r="E48" s="11" t="s">
        <v>217</v>
      </c>
      <c r="F48" s="5" t="n">
        <v>3800</v>
      </c>
      <c r="G48" s="11" t="s">
        <v>218</v>
      </c>
      <c r="H48" s="11" t="s">
        <v>136</v>
      </c>
      <c r="I48" s="8" t="n">
        <v>55000</v>
      </c>
      <c r="J48" s="9" t="n">
        <f aca="false">I48/INDEX(FX!$B$2:$B$8,MATCH(H48,FX!$A$2:$A$8,0))</f>
        <v>41044.776119403</v>
      </c>
    </row>
    <row r="49" customFormat="false" ht="15" hidden="false" customHeight="false" outlineLevel="0" collapsed="false">
      <c r="A49" s="11" t="s">
        <v>139</v>
      </c>
      <c r="B49" s="11" t="n">
        <v>6</v>
      </c>
      <c r="C49" s="11" t="s">
        <v>216</v>
      </c>
      <c r="D49" s="11" t="s">
        <v>214</v>
      </c>
      <c r="E49" s="11" t="s">
        <v>217</v>
      </c>
      <c r="F49" s="5" t="n">
        <v>3800</v>
      </c>
      <c r="G49" s="11" t="s">
        <v>218</v>
      </c>
      <c r="H49" s="11" t="s">
        <v>136</v>
      </c>
      <c r="I49" s="8" t="n">
        <v>55000</v>
      </c>
      <c r="J49" s="9" t="n">
        <f aca="false">I49/INDEX(FX!$B$2:$B$8,MATCH(H49,FX!$A$2:$A$8,0))</f>
        <v>41044.776119403</v>
      </c>
    </row>
    <row r="50" customFormat="false" ht="15" hidden="false" customHeight="false" outlineLevel="0" collapsed="false">
      <c r="A50" s="11" t="s">
        <v>139</v>
      </c>
      <c r="B50" s="11" t="n">
        <v>7</v>
      </c>
      <c r="C50" s="11" t="s">
        <v>216</v>
      </c>
      <c r="D50" s="11" t="s">
        <v>215</v>
      </c>
      <c r="E50" s="11" t="s">
        <v>217</v>
      </c>
      <c r="F50" s="5" t="n">
        <v>3800</v>
      </c>
      <c r="G50" s="11" t="s">
        <v>218</v>
      </c>
      <c r="H50" s="11" t="s">
        <v>136</v>
      </c>
      <c r="I50" s="8" t="n">
        <v>74000</v>
      </c>
      <c r="J50" s="9" t="n">
        <f aca="false">I50/INDEX(FX!$B$2:$B$8,MATCH(H50,FX!$A$2:$A$8,0))</f>
        <v>55223.8805970149</v>
      </c>
    </row>
    <row r="51" customFormat="false" ht="15" hidden="false" customHeight="false" outlineLevel="0" collapsed="false">
      <c r="A51" s="11" t="s">
        <v>139</v>
      </c>
      <c r="B51" s="11" t="n">
        <v>8</v>
      </c>
      <c r="C51" s="11" t="s">
        <v>220</v>
      </c>
      <c r="D51" s="11" t="s">
        <v>211</v>
      </c>
      <c r="E51" s="11" t="s">
        <v>221</v>
      </c>
      <c r="F51" s="5" t="n">
        <v>8200</v>
      </c>
      <c r="G51" s="11" t="s">
        <v>222</v>
      </c>
      <c r="H51" s="11" t="s">
        <v>136</v>
      </c>
      <c r="I51" s="8" t="n">
        <v>27000</v>
      </c>
      <c r="J51" s="9" t="n">
        <f aca="false">I51/INDEX(FX!$B$2:$B$8,MATCH(H51,FX!$A$2:$A$8,0))</f>
        <v>20149.2537313433</v>
      </c>
    </row>
    <row r="52" customFormat="false" ht="15" hidden="false" customHeight="false" outlineLevel="0" collapsed="false">
      <c r="A52" s="11" t="s">
        <v>139</v>
      </c>
      <c r="B52" s="11" t="n">
        <v>9</v>
      </c>
      <c r="C52" s="11" t="s">
        <v>220</v>
      </c>
      <c r="D52" s="11" t="s">
        <v>214</v>
      </c>
      <c r="E52" s="11" t="s">
        <v>221</v>
      </c>
      <c r="F52" s="5" t="n">
        <v>8200</v>
      </c>
      <c r="G52" s="11" t="s">
        <v>222</v>
      </c>
      <c r="H52" s="11" t="s">
        <v>136</v>
      </c>
      <c r="I52" s="8" t="n">
        <v>27000</v>
      </c>
      <c r="J52" s="9" t="n">
        <f aca="false">I52/INDEX(FX!$B$2:$B$8,MATCH(H52,FX!$A$2:$A$8,0))</f>
        <v>20149.2537313433</v>
      </c>
    </row>
    <row r="53" customFormat="false" ht="15" hidden="false" customHeight="false" outlineLevel="0" collapsed="false">
      <c r="A53" s="11" t="s">
        <v>139</v>
      </c>
      <c r="B53" s="11" t="n">
        <v>10</v>
      </c>
      <c r="C53" s="11" t="s">
        <v>220</v>
      </c>
      <c r="D53" s="11" t="s">
        <v>215</v>
      </c>
      <c r="E53" s="11" t="s">
        <v>221</v>
      </c>
      <c r="F53" s="5" t="n">
        <v>8200</v>
      </c>
      <c r="G53" s="11" t="s">
        <v>222</v>
      </c>
      <c r="H53" s="11" t="s">
        <v>136</v>
      </c>
      <c r="I53" s="8" t="n">
        <v>36000</v>
      </c>
      <c r="J53" s="9" t="n">
        <f aca="false">I53/INDEX(FX!$B$2:$B$8,MATCH(H53,FX!$A$2:$A$8,0))</f>
        <v>26865.671641791</v>
      </c>
    </row>
    <row r="54" customFormat="false" ht="15" hidden="false" customHeight="false" outlineLevel="0" collapsed="false">
      <c r="A54" s="11" t="s">
        <v>146</v>
      </c>
      <c r="B54" s="11" t="n">
        <v>1</v>
      </c>
      <c r="C54" s="11" t="s">
        <v>132</v>
      </c>
      <c r="D54" s="11" t="s">
        <v>211</v>
      </c>
      <c r="E54" s="11" t="s">
        <v>212</v>
      </c>
      <c r="F54" s="5" t="n">
        <v>96000</v>
      </c>
      <c r="G54" s="11" t="s">
        <v>213</v>
      </c>
      <c r="H54" s="11" t="s">
        <v>155</v>
      </c>
      <c r="I54" s="8" t="n">
        <v>831500</v>
      </c>
      <c r="J54" s="9" t="n">
        <f aca="false">I54/INDEX(FX!$B$2:$B$8,MATCH(H54,FX!$A$2:$A$8,0))</f>
        <v>831500</v>
      </c>
    </row>
    <row r="55" customFormat="false" ht="15" hidden="false" customHeight="false" outlineLevel="0" collapsed="false">
      <c r="A55" s="11" t="s">
        <v>146</v>
      </c>
      <c r="B55" s="11" t="n">
        <v>2</v>
      </c>
      <c r="C55" s="11" t="s">
        <v>132</v>
      </c>
      <c r="D55" s="11" t="s">
        <v>214</v>
      </c>
      <c r="E55" s="11" t="s">
        <v>212</v>
      </c>
      <c r="F55" s="5" t="n">
        <v>96000</v>
      </c>
      <c r="G55" s="11" t="s">
        <v>213</v>
      </c>
      <c r="H55" s="11" t="s">
        <v>155</v>
      </c>
      <c r="I55" s="8" t="n">
        <v>831500</v>
      </c>
      <c r="J55" s="9" t="n">
        <f aca="false">I55/INDEX(FX!$B$2:$B$8,MATCH(H55,FX!$A$2:$A$8,0))</f>
        <v>831500</v>
      </c>
    </row>
    <row r="56" customFormat="false" ht="15" hidden="false" customHeight="false" outlineLevel="0" collapsed="false">
      <c r="A56" s="11" t="s">
        <v>146</v>
      </c>
      <c r="B56" s="11" t="n">
        <v>3</v>
      </c>
      <c r="C56" s="11" t="s">
        <v>132</v>
      </c>
      <c r="D56" s="11" t="s">
        <v>215</v>
      </c>
      <c r="E56" s="11" t="s">
        <v>212</v>
      </c>
      <c r="F56" s="5" t="n">
        <v>96000</v>
      </c>
      <c r="G56" s="11" t="s">
        <v>213</v>
      </c>
      <c r="H56" s="11" t="s">
        <v>155</v>
      </c>
      <c r="I56" s="8" t="n">
        <v>1109000</v>
      </c>
      <c r="J56" s="9" t="n">
        <f aca="false">I56/INDEX(FX!$B$2:$B$8,MATCH(H56,FX!$A$2:$A$8,0))</f>
        <v>1109000</v>
      </c>
    </row>
    <row r="57" customFormat="false" ht="15" hidden="false" customHeight="false" outlineLevel="0" collapsed="false">
      <c r="A57" s="11" t="s">
        <v>146</v>
      </c>
      <c r="B57" s="11" t="n">
        <v>4</v>
      </c>
      <c r="C57" s="11" t="s">
        <v>132</v>
      </c>
      <c r="D57" s="11" t="s">
        <v>219</v>
      </c>
      <c r="E57" s="11" t="s">
        <v>212</v>
      </c>
      <c r="F57" s="5" t="n">
        <v>96000</v>
      </c>
      <c r="G57" s="11" t="s">
        <v>213</v>
      </c>
      <c r="H57" s="11" t="s">
        <v>155</v>
      </c>
      <c r="I57" s="8" t="n">
        <v>277000</v>
      </c>
      <c r="J57" s="9" t="n">
        <f aca="false">I57/INDEX(FX!$B$2:$B$8,MATCH(H57,FX!$A$2:$A$8,0))</f>
        <v>277000</v>
      </c>
    </row>
    <row r="58" customFormat="false" ht="15" hidden="false" customHeight="false" outlineLevel="0" collapsed="false">
      <c r="A58" s="11" t="s">
        <v>146</v>
      </c>
      <c r="B58" s="11" t="n">
        <v>5</v>
      </c>
      <c r="C58" s="11" t="s">
        <v>216</v>
      </c>
      <c r="D58" s="11" t="s">
        <v>211</v>
      </c>
      <c r="E58" s="11" t="s">
        <v>217</v>
      </c>
      <c r="F58" s="5" t="n">
        <v>12000</v>
      </c>
      <c r="G58" s="11" t="s">
        <v>218</v>
      </c>
      <c r="H58" s="11" t="s">
        <v>155</v>
      </c>
      <c r="I58" s="8" t="n">
        <v>102500</v>
      </c>
      <c r="J58" s="9" t="n">
        <f aca="false">I58/INDEX(FX!$B$2:$B$8,MATCH(H58,FX!$A$2:$A$8,0))</f>
        <v>102500</v>
      </c>
    </row>
    <row r="59" customFormat="false" ht="15" hidden="false" customHeight="false" outlineLevel="0" collapsed="false">
      <c r="A59" s="11" t="s">
        <v>146</v>
      </c>
      <c r="B59" s="11" t="n">
        <v>6</v>
      </c>
      <c r="C59" s="11" t="s">
        <v>216</v>
      </c>
      <c r="D59" s="11" t="s">
        <v>214</v>
      </c>
      <c r="E59" s="11" t="s">
        <v>217</v>
      </c>
      <c r="F59" s="5" t="n">
        <v>12000</v>
      </c>
      <c r="G59" s="11" t="s">
        <v>218</v>
      </c>
      <c r="H59" s="11" t="s">
        <v>155</v>
      </c>
      <c r="I59" s="8" t="n">
        <v>102500</v>
      </c>
      <c r="J59" s="9" t="n">
        <f aca="false">I59/INDEX(FX!$B$2:$B$8,MATCH(H59,FX!$A$2:$A$8,0))</f>
        <v>102500</v>
      </c>
    </row>
    <row r="60" customFormat="false" ht="15" hidden="false" customHeight="false" outlineLevel="0" collapsed="false">
      <c r="A60" s="11" t="s">
        <v>146</v>
      </c>
      <c r="B60" s="11" t="n">
        <v>7</v>
      </c>
      <c r="C60" s="11" t="s">
        <v>216</v>
      </c>
      <c r="D60" s="11" t="s">
        <v>215</v>
      </c>
      <c r="E60" s="11" t="s">
        <v>217</v>
      </c>
      <c r="F60" s="5" t="n">
        <v>12000</v>
      </c>
      <c r="G60" s="11" t="s">
        <v>218</v>
      </c>
      <c r="H60" s="11" t="s">
        <v>155</v>
      </c>
      <c r="I60" s="8" t="n">
        <v>137000</v>
      </c>
      <c r="J60" s="9" t="n">
        <f aca="false">I60/INDEX(FX!$B$2:$B$8,MATCH(H60,FX!$A$2:$A$8,0))</f>
        <v>137000</v>
      </c>
    </row>
    <row r="61" customFormat="false" ht="15" hidden="false" customHeight="false" outlineLevel="0" collapsed="false">
      <c r="A61" s="11" t="s">
        <v>146</v>
      </c>
      <c r="B61" s="11" t="n">
        <v>8</v>
      </c>
      <c r="C61" s="11" t="s">
        <v>220</v>
      </c>
      <c r="D61" s="11" t="s">
        <v>211</v>
      </c>
      <c r="E61" s="11" t="s">
        <v>221</v>
      </c>
      <c r="F61" s="5" t="n">
        <v>3500</v>
      </c>
      <c r="G61" s="11" t="s">
        <v>222</v>
      </c>
      <c r="H61" s="11" t="s">
        <v>155</v>
      </c>
      <c r="I61" s="8" t="n">
        <v>5700</v>
      </c>
      <c r="J61" s="9" t="n">
        <f aca="false">I61/INDEX(FX!$B$2:$B$8,MATCH(H61,FX!$A$2:$A$8,0))</f>
        <v>5700</v>
      </c>
    </row>
    <row r="62" customFormat="false" ht="15" hidden="false" customHeight="false" outlineLevel="0" collapsed="false">
      <c r="A62" s="11" t="s">
        <v>146</v>
      </c>
      <c r="B62" s="11" t="n">
        <v>9</v>
      </c>
      <c r="C62" s="11" t="s">
        <v>220</v>
      </c>
      <c r="D62" s="11" t="s">
        <v>214</v>
      </c>
      <c r="E62" s="11" t="s">
        <v>221</v>
      </c>
      <c r="F62" s="5" t="n">
        <v>3500</v>
      </c>
      <c r="G62" s="11" t="s">
        <v>222</v>
      </c>
      <c r="H62" s="11" t="s">
        <v>155</v>
      </c>
      <c r="I62" s="8" t="n">
        <v>5700</v>
      </c>
      <c r="J62" s="9" t="n">
        <f aca="false">I62/INDEX(FX!$B$2:$B$8,MATCH(H62,FX!$A$2:$A$8,0))</f>
        <v>5700</v>
      </c>
    </row>
    <row r="63" customFormat="false" ht="15" hidden="false" customHeight="false" outlineLevel="0" collapsed="false">
      <c r="A63" s="11" t="s">
        <v>146</v>
      </c>
      <c r="B63" s="11" t="n">
        <v>10</v>
      </c>
      <c r="C63" s="11" t="s">
        <v>220</v>
      </c>
      <c r="D63" s="11" t="s">
        <v>215</v>
      </c>
      <c r="E63" s="11" t="s">
        <v>221</v>
      </c>
      <c r="F63" s="5" t="n">
        <v>3500</v>
      </c>
      <c r="G63" s="11" t="s">
        <v>222</v>
      </c>
      <c r="H63" s="11" t="s">
        <v>155</v>
      </c>
      <c r="I63" s="8" t="n">
        <v>7600</v>
      </c>
      <c r="J63" s="9" t="n">
        <f aca="false">I63/INDEX(FX!$B$2:$B$8,MATCH(H63,FX!$A$2:$A$8,0))</f>
        <v>7600</v>
      </c>
    </row>
    <row r="64" customFormat="false" ht="15" hidden="false" customHeight="false" outlineLevel="0" collapsed="false">
      <c r="A64" s="11" t="s">
        <v>158</v>
      </c>
      <c r="B64" s="11" t="n">
        <v>1</v>
      </c>
      <c r="C64" s="11" t="s">
        <v>132</v>
      </c>
      <c r="D64" s="11" t="s">
        <v>211</v>
      </c>
      <c r="E64" s="11" t="s">
        <v>212</v>
      </c>
      <c r="F64" s="5" t="n">
        <v>26000</v>
      </c>
      <c r="G64" s="11" t="s">
        <v>213</v>
      </c>
      <c r="H64" s="11" t="s">
        <v>155</v>
      </c>
      <c r="I64" s="8" t="n">
        <v>477500</v>
      </c>
      <c r="J64" s="9" t="n">
        <f aca="false">I64/INDEX(FX!$B$2:$B$8,MATCH(H64,FX!$A$2:$A$8,0))</f>
        <v>477500</v>
      </c>
    </row>
    <row r="65" customFormat="false" ht="15" hidden="false" customHeight="false" outlineLevel="0" collapsed="false">
      <c r="A65" s="11" t="s">
        <v>158</v>
      </c>
      <c r="B65" s="11" t="n">
        <v>2</v>
      </c>
      <c r="C65" s="11" t="s">
        <v>132</v>
      </c>
      <c r="D65" s="11" t="s">
        <v>214</v>
      </c>
      <c r="E65" s="11" t="s">
        <v>212</v>
      </c>
      <c r="F65" s="5" t="n">
        <v>26000</v>
      </c>
      <c r="G65" s="11" t="s">
        <v>213</v>
      </c>
      <c r="H65" s="11" t="s">
        <v>155</v>
      </c>
      <c r="I65" s="8" t="n">
        <v>477500</v>
      </c>
      <c r="J65" s="9" t="n">
        <f aca="false">I65/INDEX(FX!$B$2:$B$8,MATCH(H65,FX!$A$2:$A$8,0))</f>
        <v>477500</v>
      </c>
    </row>
    <row r="66" customFormat="false" ht="15" hidden="false" customHeight="false" outlineLevel="0" collapsed="false">
      <c r="A66" s="11" t="s">
        <v>158</v>
      </c>
      <c r="B66" s="11" t="n">
        <v>3</v>
      </c>
      <c r="C66" s="11" t="s">
        <v>216</v>
      </c>
      <c r="D66" s="11" t="s">
        <v>211</v>
      </c>
      <c r="E66" s="11" t="s">
        <v>217</v>
      </c>
      <c r="F66" s="5" t="n">
        <v>14000</v>
      </c>
      <c r="G66" s="11" t="s">
        <v>218</v>
      </c>
      <c r="H66" s="11" t="s">
        <v>155</v>
      </c>
      <c r="I66" s="8" t="n">
        <v>260000</v>
      </c>
      <c r="J66" s="9" t="n">
        <f aca="false">I66/INDEX(FX!$B$2:$B$8,MATCH(H66,FX!$A$2:$A$8,0))</f>
        <v>260000</v>
      </c>
    </row>
    <row r="67" customFormat="false" ht="15" hidden="false" customHeight="false" outlineLevel="0" collapsed="false">
      <c r="A67" s="11" t="s">
        <v>158</v>
      </c>
      <c r="B67" s="11" t="n">
        <v>4</v>
      </c>
      <c r="C67" s="11" t="s">
        <v>216</v>
      </c>
      <c r="D67" s="11" t="s">
        <v>214</v>
      </c>
      <c r="E67" s="11" t="s">
        <v>217</v>
      </c>
      <c r="F67" s="5" t="n">
        <v>14000</v>
      </c>
      <c r="G67" s="11" t="s">
        <v>218</v>
      </c>
      <c r="H67" s="11" t="s">
        <v>155</v>
      </c>
      <c r="I67" s="8" t="n">
        <v>260000</v>
      </c>
      <c r="J67" s="9" t="n">
        <f aca="false">I67/INDEX(FX!$B$2:$B$8,MATCH(H67,FX!$A$2:$A$8,0))</f>
        <v>260000</v>
      </c>
    </row>
    <row r="68" customFormat="false" ht="15" hidden="false" customHeight="false" outlineLevel="0" collapsed="false">
      <c r="A68" s="11" t="s">
        <v>158</v>
      </c>
      <c r="B68" s="11" t="n">
        <v>5</v>
      </c>
      <c r="C68" s="11" t="s">
        <v>220</v>
      </c>
      <c r="D68" s="11" t="s">
        <v>211</v>
      </c>
      <c r="E68" s="11" t="s">
        <v>221</v>
      </c>
      <c r="F68" s="5" t="n">
        <v>60000</v>
      </c>
      <c r="G68" s="11" t="s">
        <v>222</v>
      </c>
      <c r="H68" s="11" t="s">
        <v>155</v>
      </c>
      <c r="I68" s="8" t="n">
        <v>77000</v>
      </c>
      <c r="J68" s="9" t="n">
        <f aca="false">I68/INDEX(FX!$B$2:$B$8,MATCH(H68,FX!$A$2:$A$8,0))</f>
        <v>77000</v>
      </c>
    </row>
    <row r="69" customFormat="false" ht="15" hidden="false" customHeight="false" outlineLevel="0" collapsed="false">
      <c r="A69" s="11" t="s">
        <v>158</v>
      </c>
      <c r="B69" s="11" t="n">
        <v>6</v>
      </c>
      <c r="C69" s="11" t="s">
        <v>220</v>
      </c>
      <c r="D69" s="11" t="s">
        <v>214</v>
      </c>
      <c r="E69" s="11" t="s">
        <v>221</v>
      </c>
      <c r="F69" s="5" t="n">
        <v>60000</v>
      </c>
      <c r="G69" s="11" t="s">
        <v>222</v>
      </c>
      <c r="H69" s="11" t="s">
        <v>155</v>
      </c>
      <c r="I69" s="8" t="n">
        <v>77000</v>
      </c>
      <c r="J69" s="9" t="n">
        <f aca="false">I69/INDEX(FX!$B$2:$B$8,MATCH(H69,FX!$A$2:$A$8,0))</f>
        <v>77000</v>
      </c>
    </row>
    <row r="70" customFormat="false" ht="15" hidden="false" customHeight="false" outlineLevel="0" collapsed="false">
      <c r="A70" s="11" t="s">
        <v>158</v>
      </c>
      <c r="B70" s="11" t="n">
        <v>7</v>
      </c>
      <c r="C70" s="11" t="s">
        <v>184</v>
      </c>
      <c r="D70" s="11" t="s">
        <v>211</v>
      </c>
      <c r="E70" s="11" t="s">
        <v>223</v>
      </c>
      <c r="F70" s="5" t="n">
        <v>14</v>
      </c>
      <c r="G70" s="11" t="s">
        <v>224</v>
      </c>
      <c r="H70" s="11" t="s">
        <v>155</v>
      </c>
      <c r="I70" s="8" t="n">
        <v>105500</v>
      </c>
      <c r="J70" s="9" t="n">
        <f aca="false">I70/INDEX(FX!$B$2:$B$8,MATCH(H70,FX!$A$2:$A$8,0))</f>
        <v>105500</v>
      </c>
    </row>
    <row r="71" customFormat="false" ht="15" hidden="false" customHeight="false" outlineLevel="0" collapsed="false">
      <c r="A71" s="11" t="s">
        <v>158</v>
      </c>
      <c r="B71" s="11" t="n">
        <v>8</v>
      </c>
      <c r="C71" s="11" t="s">
        <v>184</v>
      </c>
      <c r="D71" s="11" t="s">
        <v>214</v>
      </c>
      <c r="E71" s="11" t="s">
        <v>223</v>
      </c>
      <c r="F71" s="5" t="n">
        <v>14</v>
      </c>
      <c r="G71" s="11" t="s">
        <v>224</v>
      </c>
      <c r="H71" s="11" t="s">
        <v>155</v>
      </c>
      <c r="I71" s="8" t="n">
        <v>60500</v>
      </c>
      <c r="J71" s="9" t="n">
        <f aca="false">I71/INDEX(FX!$B$2:$B$8,MATCH(H71,FX!$A$2:$A$8,0))</f>
        <v>60500</v>
      </c>
    </row>
    <row r="72" customFormat="false" ht="15" hidden="false" customHeight="false" outlineLevel="0" collapsed="false">
      <c r="A72" s="11" t="s">
        <v>167</v>
      </c>
      <c r="B72" s="11" t="n">
        <v>1</v>
      </c>
      <c r="C72" s="11" t="s">
        <v>132</v>
      </c>
      <c r="D72" s="11" t="s">
        <v>211</v>
      </c>
      <c r="E72" s="11" t="s">
        <v>212</v>
      </c>
      <c r="F72" s="5" t="n">
        <v>88000</v>
      </c>
      <c r="G72" s="11" t="s">
        <v>213</v>
      </c>
      <c r="H72" s="11" t="s">
        <v>176</v>
      </c>
      <c r="I72" s="8" t="n">
        <v>3380000</v>
      </c>
      <c r="J72" s="9" t="n">
        <f aca="false">I72/INDEX(FX!$B$2:$B$8,MATCH(H72,FX!$A$2:$A$8,0))</f>
        <v>469444.444444444</v>
      </c>
    </row>
    <row r="73" customFormat="false" ht="15" hidden="false" customHeight="false" outlineLevel="0" collapsed="false">
      <c r="A73" s="11" t="s">
        <v>167</v>
      </c>
      <c r="B73" s="11" t="n">
        <v>2</v>
      </c>
      <c r="C73" s="11" t="s">
        <v>132</v>
      </c>
      <c r="D73" s="11" t="s">
        <v>214</v>
      </c>
      <c r="E73" s="11" t="s">
        <v>212</v>
      </c>
      <c r="F73" s="5" t="n">
        <v>88000</v>
      </c>
      <c r="G73" s="11" t="s">
        <v>213</v>
      </c>
      <c r="H73" s="11" t="s">
        <v>176</v>
      </c>
      <c r="I73" s="8" t="n">
        <v>3380000</v>
      </c>
      <c r="J73" s="9" t="n">
        <f aca="false">I73/INDEX(FX!$B$2:$B$8,MATCH(H73,FX!$A$2:$A$8,0))</f>
        <v>469444.444444444</v>
      </c>
    </row>
    <row r="74" customFormat="false" ht="15" hidden="false" customHeight="false" outlineLevel="0" collapsed="false">
      <c r="A74" s="11" t="s">
        <v>167</v>
      </c>
      <c r="B74" s="11" t="n">
        <v>3</v>
      </c>
      <c r="C74" s="11" t="s">
        <v>132</v>
      </c>
      <c r="D74" s="11" t="s">
        <v>215</v>
      </c>
      <c r="E74" s="11" t="s">
        <v>212</v>
      </c>
      <c r="F74" s="5" t="n">
        <v>88000</v>
      </c>
      <c r="G74" s="11" t="s">
        <v>213</v>
      </c>
      <c r="H74" s="11" t="s">
        <v>176</v>
      </c>
      <c r="I74" s="8" t="n">
        <v>4510000</v>
      </c>
      <c r="J74" s="9" t="n">
        <f aca="false">I74/INDEX(FX!$B$2:$B$8,MATCH(H74,FX!$A$2:$A$8,0))</f>
        <v>626388.888888889</v>
      </c>
    </row>
    <row r="75" customFormat="false" ht="15" hidden="false" customHeight="false" outlineLevel="0" collapsed="false">
      <c r="A75" s="11" t="s">
        <v>167</v>
      </c>
      <c r="B75" s="11" t="n">
        <v>4</v>
      </c>
      <c r="C75" s="11" t="s">
        <v>220</v>
      </c>
      <c r="D75" s="11" t="s">
        <v>211</v>
      </c>
      <c r="E75" s="11" t="s">
        <v>221</v>
      </c>
      <c r="F75" s="5" t="n">
        <v>26000</v>
      </c>
      <c r="G75" s="11" t="s">
        <v>222</v>
      </c>
      <c r="H75" s="11" t="s">
        <v>176</v>
      </c>
      <c r="I75" s="8" t="n">
        <v>270000</v>
      </c>
      <c r="J75" s="9" t="n">
        <f aca="false">I75/INDEX(FX!$B$2:$B$8,MATCH(H75,FX!$A$2:$A$8,0))</f>
        <v>37500</v>
      </c>
    </row>
    <row r="76" customFormat="false" ht="15" hidden="false" customHeight="false" outlineLevel="0" collapsed="false">
      <c r="A76" s="11" t="s">
        <v>167</v>
      </c>
      <c r="B76" s="11" t="n">
        <v>5</v>
      </c>
      <c r="C76" s="11" t="s">
        <v>220</v>
      </c>
      <c r="D76" s="11" t="s">
        <v>214</v>
      </c>
      <c r="E76" s="11" t="s">
        <v>221</v>
      </c>
      <c r="F76" s="5" t="n">
        <v>26000</v>
      </c>
      <c r="G76" s="11" t="s">
        <v>222</v>
      </c>
      <c r="H76" s="11" t="s">
        <v>176</v>
      </c>
      <c r="I76" s="8" t="n">
        <v>270000</v>
      </c>
      <c r="J76" s="9" t="n">
        <f aca="false">I76/INDEX(FX!$B$2:$B$8,MATCH(H76,FX!$A$2:$A$8,0))</f>
        <v>37500</v>
      </c>
    </row>
    <row r="77" customFormat="false" ht="15" hidden="false" customHeight="false" outlineLevel="0" collapsed="false">
      <c r="A77" s="11" t="s">
        <v>167</v>
      </c>
      <c r="B77" s="11" t="n">
        <v>6</v>
      </c>
      <c r="C77" s="11" t="s">
        <v>220</v>
      </c>
      <c r="D77" s="11" t="s">
        <v>215</v>
      </c>
      <c r="E77" s="11" t="s">
        <v>221</v>
      </c>
      <c r="F77" s="5" t="n">
        <v>26000</v>
      </c>
      <c r="G77" s="11" t="s">
        <v>222</v>
      </c>
      <c r="H77" s="11" t="s">
        <v>176</v>
      </c>
      <c r="I77" s="8" t="n">
        <v>360000</v>
      </c>
      <c r="J77" s="9" t="n">
        <f aca="false">I77/INDEX(FX!$B$2:$B$8,MATCH(H77,FX!$A$2:$A$8,0))</f>
        <v>50000</v>
      </c>
    </row>
    <row r="78" customFormat="false" ht="15" hidden="false" customHeight="false" outlineLevel="0" collapsed="false">
      <c r="A78" s="11" t="s">
        <v>179</v>
      </c>
      <c r="B78" s="11" t="n">
        <v>1</v>
      </c>
      <c r="C78" s="11" t="s">
        <v>184</v>
      </c>
      <c r="D78" s="11" t="s">
        <v>225</v>
      </c>
      <c r="E78" s="11" t="s">
        <v>223</v>
      </c>
      <c r="F78" s="5" t="n">
        <v>120</v>
      </c>
      <c r="G78" s="11" t="s">
        <v>224</v>
      </c>
      <c r="H78" s="11" t="s">
        <v>176</v>
      </c>
      <c r="I78" s="8" t="n">
        <v>2140000</v>
      </c>
      <c r="J78" s="9" t="n">
        <f aca="false">I78/INDEX(FX!$B$2:$B$8,MATCH(H78,FX!$A$2:$A$8,0))</f>
        <v>297222.222222222</v>
      </c>
    </row>
    <row r="79" customFormat="false" ht="15" hidden="false" customHeight="false" outlineLevel="0" collapsed="false">
      <c r="A79" s="11" t="s">
        <v>179</v>
      </c>
      <c r="B79" s="11" t="n">
        <v>2</v>
      </c>
      <c r="C79" s="11" t="s">
        <v>184</v>
      </c>
      <c r="D79" s="11" t="s">
        <v>211</v>
      </c>
      <c r="E79" s="11" t="s">
        <v>223</v>
      </c>
      <c r="F79" s="5" t="n">
        <v>120</v>
      </c>
      <c r="G79" s="11" t="s">
        <v>224</v>
      </c>
      <c r="H79" s="11" t="s">
        <v>176</v>
      </c>
      <c r="I79" s="8" t="n">
        <v>4990000</v>
      </c>
      <c r="J79" s="9" t="n">
        <f aca="false">I79/INDEX(FX!$B$2:$B$8,MATCH(H79,FX!$A$2:$A$8,0))</f>
        <v>693055.555555556</v>
      </c>
    </row>
    <row r="80" customFormat="false" ht="15" hidden="false" customHeight="false" outlineLevel="0" collapsed="false">
      <c r="A80" s="11" t="s">
        <v>187</v>
      </c>
      <c r="B80" s="11" t="n">
        <v>1</v>
      </c>
      <c r="C80" s="11" t="s">
        <v>132</v>
      </c>
      <c r="D80" s="11" t="s">
        <v>211</v>
      </c>
      <c r="E80" s="11" t="s">
        <v>212</v>
      </c>
      <c r="F80" s="5" t="n">
        <v>110000</v>
      </c>
      <c r="G80" s="11" t="s">
        <v>213</v>
      </c>
      <c r="H80" s="11" t="s">
        <v>195</v>
      </c>
      <c r="I80" s="8" t="n">
        <v>51800000</v>
      </c>
      <c r="J80" s="9" t="n">
        <f aca="false">I80/INDEX(FX!$B$2:$B$8,MATCH(H80,FX!$A$2:$A$8,0))</f>
        <v>609411.764705882</v>
      </c>
    </row>
    <row r="81" customFormat="false" ht="15" hidden="false" customHeight="false" outlineLevel="0" collapsed="false">
      <c r="A81" s="11" t="s">
        <v>187</v>
      </c>
      <c r="B81" s="11" t="n">
        <v>2</v>
      </c>
      <c r="C81" s="11" t="s">
        <v>132</v>
      </c>
      <c r="D81" s="11" t="s">
        <v>214</v>
      </c>
      <c r="E81" s="11" t="s">
        <v>212</v>
      </c>
      <c r="F81" s="5" t="n">
        <v>110000</v>
      </c>
      <c r="G81" s="11" t="s">
        <v>213</v>
      </c>
      <c r="H81" s="11" t="s">
        <v>195</v>
      </c>
      <c r="I81" s="8" t="n">
        <v>51800000</v>
      </c>
      <c r="J81" s="9" t="n">
        <f aca="false">I81/INDEX(FX!$B$2:$B$8,MATCH(H81,FX!$A$2:$A$8,0))</f>
        <v>609411.764705882</v>
      </c>
    </row>
    <row r="82" customFormat="false" ht="15" hidden="false" customHeight="false" outlineLevel="0" collapsed="false">
      <c r="A82" s="11" t="s">
        <v>187</v>
      </c>
      <c r="B82" s="11" t="n">
        <v>3</v>
      </c>
      <c r="C82" s="11" t="s">
        <v>132</v>
      </c>
      <c r="D82" s="11" t="s">
        <v>215</v>
      </c>
      <c r="E82" s="11" t="s">
        <v>212</v>
      </c>
      <c r="F82" s="5" t="n">
        <v>110000</v>
      </c>
      <c r="G82" s="11" t="s">
        <v>213</v>
      </c>
      <c r="H82" s="11" t="s">
        <v>195</v>
      </c>
      <c r="I82" s="8" t="n">
        <v>69100000</v>
      </c>
      <c r="J82" s="9" t="n">
        <f aca="false">I82/INDEX(FX!$B$2:$B$8,MATCH(H82,FX!$A$2:$A$8,0))</f>
        <v>812941.176470588</v>
      </c>
    </row>
    <row r="83" customFormat="false" ht="15" hidden="false" customHeight="false" outlineLevel="0" collapsed="false">
      <c r="A83" s="11" t="s">
        <v>187</v>
      </c>
      <c r="B83" s="11" t="n">
        <v>4</v>
      </c>
      <c r="C83" s="11" t="s">
        <v>216</v>
      </c>
      <c r="D83" s="11" t="s">
        <v>211</v>
      </c>
      <c r="E83" s="11" t="s">
        <v>217</v>
      </c>
      <c r="F83" s="5" t="n">
        <v>4500</v>
      </c>
      <c r="G83" s="11" t="s">
        <v>218</v>
      </c>
      <c r="H83" s="11" t="s">
        <v>195</v>
      </c>
      <c r="I83" s="8" t="n">
        <v>2100000</v>
      </c>
      <c r="J83" s="9" t="n">
        <f aca="false">I83/INDEX(FX!$B$2:$B$8,MATCH(H83,FX!$A$2:$A$8,0))</f>
        <v>24705.8823529412</v>
      </c>
    </row>
    <row r="84" customFormat="false" ht="15" hidden="false" customHeight="false" outlineLevel="0" collapsed="false">
      <c r="A84" s="11" t="s">
        <v>187</v>
      </c>
      <c r="B84" s="11" t="n">
        <v>5</v>
      </c>
      <c r="C84" s="11" t="s">
        <v>216</v>
      </c>
      <c r="D84" s="11" t="s">
        <v>214</v>
      </c>
      <c r="E84" s="11" t="s">
        <v>217</v>
      </c>
      <c r="F84" s="5" t="n">
        <v>4500</v>
      </c>
      <c r="G84" s="11" t="s">
        <v>218</v>
      </c>
      <c r="H84" s="11" t="s">
        <v>195</v>
      </c>
      <c r="I84" s="8" t="n">
        <v>2100000</v>
      </c>
      <c r="J84" s="9" t="n">
        <f aca="false">I84/INDEX(FX!$B$2:$B$8,MATCH(H84,FX!$A$2:$A$8,0))</f>
        <v>24705.8823529412</v>
      </c>
    </row>
    <row r="85" customFormat="false" ht="15" hidden="false" customHeight="false" outlineLevel="0" collapsed="false">
      <c r="A85" s="11" t="s">
        <v>187</v>
      </c>
      <c r="B85" s="11" t="n">
        <v>6</v>
      </c>
      <c r="C85" s="11" t="s">
        <v>216</v>
      </c>
      <c r="D85" s="11" t="s">
        <v>215</v>
      </c>
      <c r="E85" s="11" t="s">
        <v>217</v>
      </c>
      <c r="F85" s="5" t="n">
        <v>4500</v>
      </c>
      <c r="G85" s="11" t="s">
        <v>218</v>
      </c>
      <c r="H85" s="11" t="s">
        <v>195</v>
      </c>
      <c r="I85" s="8" t="n">
        <v>2800000</v>
      </c>
      <c r="J85" s="9" t="n">
        <f aca="false">I85/INDEX(FX!$B$2:$B$8,MATCH(H85,FX!$A$2:$A$8,0))</f>
        <v>32941.1764705882</v>
      </c>
    </row>
    <row r="86" customFormat="false" ht="15" hidden="false" customHeight="false" outlineLevel="0" collapsed="false">
      <c r="A86" s="11" t="s">
        <v>198</v>
      </c>
      <c r="B86" s="11" t="n">
        <v>1</v>
      </c>
      <c r="C86" s="11" t="s">
        <v>132</v>
      </c>
      <c r="D86" s="11" t="s">
        <v>211</v>
      </c>
      <c r="E86" s="11" t="s">
        <v>212</v>
      </c>
      <c r="F86" s="5" t="n">
        <v>27000</v>
      </c>
      <c r="G86" s="11" t="s">
        <v>213</v>
      </c>
      <c r="H86" s="11" t="s">
        <v>65</v>
      </c>
      <c r="I86" s="8" t="n">
        <v>735000</v>
      </c>
      <c r="J86" s="9" t="n">
        <f aca="false">I86/INDEX(FX!$B$2:$B$8,MATCH(H86,FX!$A$2:$A$8,0))</f>
        <v>200136.147038802</v>
      </c>
    </row>
    <row r="87" customFormat="false" ht="15" hidden="false" customHeight="false" outlineLevel="0" collapsed="false">
      <c r="A87" s="11" t="s">
        <v>198</v>
      </c>
      <c r="B87" s="11" t="n">
        <v>2</v>
      </c>
      <c r="C87" s="11" t="s">
        <v>132</v>
      </c>
      <c r="D87" s="11" t="s">
        <v>214</v>
      </c>
      <c r="E87" s="11" t="s">
        <v>212</v>
      </c>
      <c r="F87" s="5" t="n">
        <v>27000</v>
      </c>
      <c r="G87" s="11" t="s">
        <v>213</v>
      </c>
      <c r="H87" s="11" t="s">
        <v>65</v>
      </c>
      <c r="I87" s="8" t="n">
        <v>735000</v>
      </c>
      <c r="J87" s="9" t="n">
        <f aca="false">I87/INDEX(FX!$B$2:$B$8,MATCH(H87,FX!$A$2:$A$8,0))</f>
        <v>200136.147038802</v>
      </c>
    </row>
    <row r="88" customFormat="false" ht="15" hidden="false" customHeight="false" outlineLevel="0" collapsed="false">
      <c r="A88" s="11" t="s">
        <v>198</v>
      </c>
      <c r="B88" s="11" t="n">
        <v>3</v>
      </c>
      <c r="C88" s="11" t="s">
        <v>216</v>
      </c>
      <c r="D88" s="11" t="s">
        <v>211</v>
      </c>
      <c r="E88" s="11" t="s">
        <v>217</v>
      </c>
      <c r="F88" s="5" t="n">
        <v>9000</v>
      </c>
      <c r="G88" s="11" t="s">
        <v>218</v>
      </c>
      <c r="H88" s="11" t="s">
        <v>65</v>
      </c>
      <c r="I88" s="8" t="n">
        <v>165000</v>
      </c>
      <c r="J88" s="9" t="n">
        <f aca="false">I88/INDEX(FX!$B$2:$B$8,MATCH(H88,FX!$A$2:$A$8,0))</f>
        <v>44928.522804629</v>
      </c>
    </row>
    <row r="89" customFormat="false" ht="15" hidden="false" customHeight="false" outlineLevel="0" collapsed="false">
      <c r="A89" s="11" t="s">
        <v>198</v>
      </c>
      <c r="B89" s="11" t="n">
        <v>4</v>
      </c>
      <c r="C89" s="11" t="s">
        <v>216</v>
      </c>
      <c r="D89" s="11" t="s">
        <v>214</v>
      </c>
      <c r="E89" s="11" t="s">
        <v>217</v>
      </c>
      <c r="F89" s="5" t="n">
        <v>9000</v>
      </c>
      <c r="G89" s="11" t="s">
        <v>218</v>
      </c>
      <c r="H89" s="11" t="s">
        <v>65</v>
      </c>
      <c r="I89" s="8" t="n">
        <v>165000</v>
      </c>
      <c r="J89" s="9" t="n">
        <f aca="false">I89/INDEX(FX!$B$2:$B$8,MATCH(H89,FX!$A$2:$A$8,0))</f>
        <v>44928.522804629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15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4" t="s">
        <v>16</v>
      </c>
      <c r="B1" s="4" t="s">
        <v>227</v>
      </c>
      <c r="C1" s="4" t="s">
        <v>228</v>
      </c>
      <c r="D1" s="4" t="s">
        <v>38</v>
      </c>
      <c r="E1" s="4" t="s">
        <v>229</v>
      </c>
      <c r="F1" s="4" t="s">
        <v>209</v>
      </c>
      <c r="G1" s="4" t="s">
        <v>230</v>
      </c>
    </row>
    <row r="2" customFormat="false" ht="15" hidden="false" customHeight="false" outlineLevel="0" collapsed="false">
      <c r="A2" s="11" t="s">
        <v>49</v>
      </c>
      <c r="B2" s="11" t="s">
        <v>231</v>
      </c>
      <c r="C2" s="5" t="n">
        <v>10</v>
      </c>
      <c r="D2" s="11" t="s">
        <v>65</v>
      </c>
      <c r="E2" s="8" t="n">
        <v>7500</v>
      </c>
      <c r="F2" s="9" t="n">
        <f aca="false">C2*E2</f>
        <v>75000</v>
      </c>
      <c r="G2" s="11" t="s">
        <v>232</v>
      </c>
    </row>
    <row r="3" customFormat="false" ht="15" hidden="false" customHeight="false" outlineLevel="0" collapsed="false">
      <c r="A3" s="11" t="s">
        <v>49</v>
      </c>
      <c r="B3" s="11" t="s">
        <v>233</v>
      </c>
      <c r="C3" s="5" t="n">
        <v>4</v>
      </c>
      <c r="D3" s="11" t="s">
        <v>65</v>
      </c>
      <c r="E3" s="8" t="n">
        <v>13000</v>
      </c>
      <c r="F3" s="9" t="n">
        <f aca="false">C3*E3</f>
        <v>52000</v>
      </c>
      <c r="G3" s="12" t="s">
        <v>234</v>
      </c>
    </row>
    <row r="4" customFormat="false" ht="15" hidden="false" customHeight="false" outlineLevel="0" collapsed="false">
      <c r="A4" s="11" t="s">
        <v>69</v>
      </c>
      <c r="B4" s="11" t="s">
        <v>231</v>
      </c>
      <c r="C4" s="5" t="n">
        <v>16</v>
      </c>
      <c r="D4" s="11" t="s">
        <v>65</v>
      </c>
      <c r="E4" s="8" t="n">
        <v>7500</v>
      </c>
      <c r="F4" s="9" t="n">
        <f aca="false">C4*E4</f>
        <v>120000</v>
      </c>
      <c r="G4" s="11" t="s">
        <v>232</v>
      </c>
    </row>
    <row r="5" customFormat="false" ht="15" hidden="false" customHeight="false" outlineLevel="0" collapsed="false">
      <c r="A5" s="11" t="s">
        <v>69</v>
      </c>
      <c r="B5" s="11" t="s">
        <v>233</v>
      </c>
      <c r="C5" s="5" t="n">
        <v>6</v>
      </c>
      <c r="D5" s="11" t="s">
        <v>65</v>
      </c>
      <c r="E5" s="8" t="n">
        <v>13000</v>
      </c>
      <c r="F5" s="9" t="n">
        <f aca="false">C5*E5</f>
        <v>78000</v>
      </c>
      <c r="G5" s="12" t="s">
        <v>234</v>
      </c>
    </row>
    <row r="6" customFormat="false" ht="15" hidden="false" customHeight="false" outlineLevel="0" collapsed="false">
      <c r="A6" s="11" t="s">
        <v>83</v>
      </c>
      <c r="B6" s="11" t="s">
        <v>231</v>
      </c>
      <c r="C6" s="5" t="n">
        <v>14</v>
      </c>
      <c r="D6" s="11" t="s">
        <v>94</v>
      </c>
      <c r="E6" s="8" t="n">
        <v>7500</v>
      </c>
      <c r="F6" s="9" t="n">
        <f aca="false">C6*E6</f>
        <v>105000</v>
      </c>
      <c r="G6" s="11" t="s">
        <v>232</v>
      </c>
    </row>
    <row r="7" customFormat="false" ht="15" hidden="false" customHeight="false" outlineLevel="0" collapsed="false">
      <c r="A7" s="11" t="s">
        <v>83</v>
      </c>
      <c r="B7" s="11" t="s">
        <v>233</v>
      </c>
      <c r="C7" s="5" t="n">
        <v>6</v>
      </c>
      <c r="D7" s="11" t="s">
        <v>94</v>
      </c>
      <c r="E7" s="8" t="n">
        <v>13000</v>
      </c>
      <c r="F7" s="9" t="n">
        <f aca="false">C7*E7</f>
        <v>78000</v>
      </c>
      <c r="G7" s="12" t="s">
        <v>234</v>
      </c>
    </row>
    <row r="8" customFormat="false" ht="15" hidden="false" customHeight="false" outlineLevel="0" collapsed="false">
      <c r="A8" s="11" t="s">
        <v>97</v>
      </c>
      <c r="B8" s="11" t="s">
        <v>231</v>
      </c>
      <c r="C8" s="5" t="n">
        <v>12</v>
      </c>
      <c r="D8" s="11" t="s">
        <v>65</v>
      </c>
      <c r="E8" s="8" t="n">
        <v>7500</v>
      </c>
      <c r="F8" s="9" t="n">
        <f aca="false">C8*E8</f>
        <v>90000</v>
      </c>
      <c r="G8" s="11" t="s">
        <v>232</v>
      </c>
    </row>
    <row r="9" customFormat="false" ht="15" hidden="false" customHeight="false" outlineLevel="0" collapsed="false">
      <c r="A9" s="11" t="s">
        <v>97</v>
      </c>
      <c r="B9" s="11" t="s">
        <v>233</v>
      </c>
      <c r="C9" s="5" t="n">
        <v>5</v>
      </c>
      <c r="D9" s="11" t="s">
        <v>65</v>
      </c>
      <c r="E9" s="8" t="n">
        <v>13000</v>
      </c>
      <c r="F9" s="9" t="n">
        <f aca="false">C9*E9</f>
        <v>65000</v>
      </c>
      <c r="G9" s="12" t="s">
        <v>234</v>
      </c>
    </row>
    <row r="10" customFormat="false" ht="15" hidden="false" customHeight="false" outlineLevel="0" collapsed="false">
      <c r="A10" s="11" t="s">
        <v>106</v>
      </c>
      <c r="B10" s="11" t="s">
        <v>231</v>
      </c>
      <c r="C10" s="5" t="n">
        <v>8</v>
      </c>
      <c r="D10" s="11" t="s">
        <v>116</v>
      </c>
      <c r="E10" s="8" t="n">
        <v>1850</v>
      </c>
      <c r="F10" s="9" t="n">
        <f aca="false">C10*E10</f>
        <v>14800</v>
      </c>
      <c r="G10" s="11" t="s">
        <v>232</v>
      </c>
    </row>
    <row r="11" customFormat="false" ht="15" hidden="false" customHeight="false" outlineLevel="0" collapsed="false">
      <c r="A11" s="11" t="s">
        <v>119</v>
      </c>
      <c r="B11" s="11" t="s">
        <v>231</v>
      </c>
      <c r="C11" s="5" t="n">
        <v>9</v>
      </c>
      <c r="D11" s="11" t="s">
        <v>116</v>
      </c>
      <c r="E11" s="8" t="n">
        <v>1850</v>
      </c>
      <c r="F11" s="9" t="n">
        <f aca="false">C11*E11</f>
        <v>16650</v>
      </c>
      <c r="G11" s="11" t="s">
        <v>232</v>
      </c>
    </row>
    <row r="12" customFormat="false" ht="15" hidden="false" customHeight="false" outlineLevel="0" collapsed="false">
      <c r="A12" s="11" t="s">
        <v>119</v>
      </c>
      <c r="B12" s="11" t="s">
        <v>233</v>
      </c>
      <c r="C12" s="5" t="n">
        <v>3</v>
      </c>
      <c r="D12" s="11" t="s">
        <v>116</v>
      </c>
      <c r="E12" s="8" t="n">
        <v>3200</v>
      </c>
      <c r="F12" s="9" t="n">
        <f aca="false">C12*E12</f>
        <v>9600</v>
      </c>
      <c r="G12" s="12" t="s">
        <v>234</v>
      </c>
    </row>
    <row r="13" customFormat="false" ht="15" hidden="false" customHeight="false" outlineLevel="0" collapsed="false">
      <c r="A13" s="11" t="s">
        <v>126</v>
      </c>
      <c r="B13" s="11" t="s">
        <v>231</v>
      </c>
      <c r="C13" s="5" t="n">
        <v>6</v>
      </c>
      <c r="D13" s="11" t="s">
        <v>136</v>
      </c>
      <c r="E13" s="8" t="n">
        <v>2700</v>
      </c>
      <c r="F13" s="9" t="n">
        <f aca="false">C13*E13</f>
        <v>16200</v>
      </c>
      <c r="G13" s="11" t="s">
        <v>232</v>
      </c>
    </row>
    <row r="14" customFormat="false" ht="15" hidden="false" customHeight="false" outlineLevel="0" collapsed="false">
      <c r="A14" s="11" t="s">
        <v>139</v>
      </c>
      <c r="B14" s="11" t="s">
        <v>231</v>
      </c>
      <c r="C14" s="5" t="n">
        <v>12</v>
      </c>
      <c r="D14" s="11" t="s">
        <v>136</v>
      </c>
      <c r="E14" s="8" t="n">
        <v>2700</v>
      </c>
      <c r="F14" s="9" t="n">
        <f aca="false">C14*E14</f>
        <v>32400</v>
      </c>
      <c r="G14" s="11" t="s">
        <v>232</v>
      </c>
    </row>
    <row r="15" customFormat="false" ht="15" hidden="false" customHeight="false" outlineLevel="0" collapsed="false">
      <c r="A15" s="11" t="s">
        <v>146</v>
      </c>
      <c r="B15" s="11" t="s">
        <v>231</v>
      </c>
      <c r="C15" s="5" t="n">
        <v>14</v>
      </c>
      <c r="D15" s="11" t="s">
        <v>155</v>
      </c>
      <c r="E15" s="8" t="n">
        <v>1500</v>
      </c>
      <c r="F15" s="9" t="n">
        <f aca="false">C15*E15</f>
        <v>21000</v>
      </c>
      <c r="G15" s="11" t="s">
        <v>232</v>
      </c>
    </row>
    <row r="16" customFormat="false" ht="15" hidden="false" customHeight="false" outlineLevel="0" collapsed="false">
      <c r="A16" s="11" t="s">
        <v>146</v>
      </c>
      <c r="B16" s="11" t="s">
        <v>233</v>
      </c>
      <c r="C16" s="5" t="n">
        <v>5</v>
      </c>
      <c r="D16" s="11" t="s">
        <v>155</v>
      </c>
      <c r="E16" s="8" t="n">
        <v>6000</v>
      </c>
      <c r="F16" s="9" t="n">
        <f aca="false">C16*E16</f>
        <v>30000</v>
      </c>
      <c r="G16" s="12" t="s">
        <v>235</v>
      </c>
    </row>
    <row r="17" customFormat="false" ht="15" hidden="false" customHeight="false" outlineLevel="0" collapsed="false">
      <c r="A17" s="11" t="s">
        <v>158</v>
      </c>
      <c r="B17" s="11" t="s">
        <v>231</v>
      </c>
      <c r="C17" s="5" t="n">
        <v>12</v>
      </c>
      <c r="D17" s="11" t="s">
        <v>155</v>
      </c>
      <c r="E17" s="8" t="n">
        <v>1500</v>
      </c>
      <c r="F17" s="9" t="n">
        <f aca="false">C17*E17</f>
        <v>18000</v>
      </c>
      <c r="G17" s="11" t="s">
        <v>232</v>
      </c>
    </row>
    <row r="18" customFormat="false" ht="15" hidden="false" customHeight="false" outlineLevel="0" collapsed="false">
      <c r="A18" s="11" t="s">
        <v>158</v>
      </c>
      <c r="B18" s="11" t="s">
        <v>233</v>
      </c>
      <c r="C18" s="5" t="n">
        <v>3</v>
      </c>
      <c r="D18" s="11" t="s">
        <v>155</v>
      </c>
      <c r="E18" s="8" t="n">
        <v>3500</v>
      </c>
      <c r="F18" s="9" t="n">
        <f aca="false">C18*E18</f>
        <v>10500</v>
      </c>
      <c r="G18" s="12" t="s">
        <v>234</v>
      </c>
    </row>
    <row r="19" customFormat="false" ht="15" hidden="false" customHeight="false" outlineLevel="0" collapsed="false">
      <c r="A19" s="11" t="s">
        <v>167</v>
      </c>
      <c r="B19" s="11" t="s">
        <v>231</v>
      </c>
      <c r="C19" s="5" t="n">
        <v>12</v>
      </c>
      <c r="D19" s="11" t="s">
        <v>176</v>
      </c>
      <c r="E19" s="8" t="n">
        <v>11000</v>
      </c>
      <c r="F19" s="9" t="n">
        <f aca="false">C19*E19</f>
        <v>132000</v>
      </c>
      <c r="G19" s="11" t="s">
        <v>232</v>
      </c>
    </row>
    <row r="20" customFormat="false" ht="15" hidden="false" customHeight="false" outlineLevel="0" collapsed="false">
      <c r="A20" s="11" t="s">
        <v>179</v>
      </c>
      <c r="B20" s="11" t="s">
        <v>231</v>
      </c>
      <c r="C20" s="5" t="n">
        <v>10</v>
      </c>
      <c r="D20" s="11" t="s">
        <v>176</v>
      </c>
      <c r="E20" s="8" t="n">
        <v>11000</v>
      </c>
      <c r="F20" s="9" t="n">
        <f aca="false">C20*E20</f>
        <v>110000</v>
      </c>
      <c r="G20" s="11" t="s">
        <v>232</v>
      </c>
    </row>
    <row r="21" customFormat="false" ht="15" hidden="false" customHeight="false" outlineLevel="0" collapsed="false">
      <c r="A21" s="11" t="s">
        <v>187</v>
      </c>
      <c r="B21" s="11" t="s">
        <v>231</v>
      </c>
      <c r="C21" s="5" t="n">
        <v>10</v>
      </c>
      <c r="D21" s="11" t="s">
        <v>195</v>
      </c>
      <c r="E21" s="8" t="n">
        <v>130000</v>
      </c>
      <c r="F21" s="9" t="n">
        <f aca="false">C21*E21</f>
        <v>1300000</v>
      </c>
      <c r="G21" s="11" t="s">
        <v>232</v>
      </c>
    </row>
    <row r="22" customFormat="false" ht="15" hidden="false" customHeight="false" outlineLevel="0" collapsed="false">
      <c r="A22" s="11" t="s">
        <v>187</v>
      </c>
      <c r="B22" s="11" t="s">
        <v>233</v>
      </c>
      <c r="C22" s="5" t="n">
        <v>4</v>
      </c>
      <c r="D22" s="11" t="s">
        <v>195</v>
      </c>
      <c r="E22" s="8" t="n">
        <v>300000</v>
      </c>
      <c r="F22" s="9" t="n">
        <f aca="false">C22*E22</f>
        <v>1200000</v>
      </c>
      <c r="G22" s="12" t="s">
        <v>234</v>
      </c>
    </row>
    <row r="23" customFormat="false" ht="15" hidden="false" customHeight="false" outlineLevel="0" collapsed="false">
      <c r="A23" s="11" t="s">
        <v>198</v>
      </c>
      <c r="B23" s="11" t="s">
        <v>231</v>
      </c>
      <c r="C23" s="5" t="n">
        <v>6</v>
      </c>
      <c r="D23" s="11" t="s">
        <v>65</v>
      </c>
      <c r="E23" s="8" t="n">
        <v>7500</v>
      </c>
      <c r="F23" s="9" t="n">
        <f aca="false">C23*E23</f>
        <v>45000</v>
      </c>
      <c r="G23" s="11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4" t="s">
        <v>16</v>
      </c>
      <c r="B1" s="4" t="s">
        <v>236</v>
      </c>
      <c r="C1" s="4" t="s">
        <v>237</v>
      </c>
      <c r="D1" s="4" t="s">
        <v>238</v>
      </c>
      <c r="E1" s="4" t="s">
        <v>209</v>
      </c>
    </row>
    <row r="2" customFormat="false" ht="15" hidden="false" customHeight="false" outlineLevel="0" collapsed="false">
      <c r="A2" s="11" t="s">
        <v>49</v>
      </c>
      <c r="B2" s="11" t="n">
        <v>1</v>
      </c>
      <c r="C2" s="11" t="s">
        <v>239</v>
      </c>
      <c r="D2" s="13" t="n">
        <v>0.1</v>
      </c>
      <c r="E2" s="9" t="n">
        <f aca="false">D2*INDEX(Proposals!$Y$2:$Y$15,MATCH(A2,Proposals!$A$2:$A$15,0))</f>
        <v>572500</v>
      </c>
    </row>
    <row r="3" customFormat="false" ht="15" hidden="false" customHeight="false" outlineLevel="0" collapsed="false">
      <c r="A3" s="11" t="s">
        <v>49</v>
      </c>
      <c r="B3" s="11" t="n">
        <v>2</v>
      </c>
      <c r="C3" s="11" t="s">
        <v>240</v>
      </c>
      <c r="D3" s="13" t="n">
        <v>0.27</v>
      </c>
      <c r="E3" s="9" t="n">
        <f aca="false">D3*INDEX(Proposals!$Y$2:$Y$15,MATCH(A3,Proposals!$A$2:$A$15,0))</f>
        <v>1545750</v>
      </c>
    </row>
    <row r="4" customFormat="false" ht="15" hidden="false" customHeight="false" outlineLevel="0" collapsed="false">
      <c r="A4" s="11" t="s">
        <v>49</v>
      </c>
      <c r="B4" s="11" t="n">
        <v>3</v>
      </c>
      <c r="C4" s="11" t="s">
        <v>241</v>
      </c>
      <c r="D4" s="13" t="n">
        <v>0.27</v>
      </c>
      <c r="E4" s="9" t="n">
        <f aca="false">D4*INDEX(Proposals!$Y$2:$Y$15,MATCH(A4,Proposals!$A$2:$A$15,0))</f>
        <v>1545750</v>
      </c>
    </row>
    <row r="5" customFormat="false" ht="15" hidden="false" customHeight="false" outlineLevel="0" collapsed="false">
      <c r="A5" s="11" t="s">
        <v>49</v>
      </c>
      <c r="B5" s="11" t="n">
        <v>4</v>
      </c>
      <c r="C5" s="11" t="s">
        <v>242</v>
      </c>
      <c r="D5" s="13" t="n">
        <v>0.36</v>
      </c>
      <c r="E5" s="9" t="n">
        <f aca="false">D5*INDEX(Proposals!$Y$2:$Y$15,MATCH(A5,Proposals!$A$2:$A$15,0))</f>
        <v>2061000</v>
      </c>
    </row>
    <row r="6" customFormat="false" ht="15" hidden="false" customHeight="false" outlineLevel="0" collapsed="false">
      <c r="A6" s="11" t="s">
        <v>69</v>
      </c>
      <c r="B6" s="11" t="n">
        <v>1</v>
      </c>
      <c r="C6" s="11" t="s">
        <v>239</v>
      </c>
      <c r="D6" s="13" t="n">
        <v>0.1</v>
      </c>
      <c r="E6" s="9" t="n">
        <f aca="false">D6*INDEX(Proposals!$Y$2:$Y$15,MATCH(A6,Proposals!$A$2:$A$15,0))</f>
        <v>1790500</v>
      </c>
    </row>
    <row r="7" customFormat="false" ht="15" hidden="false" customHeight="false" outlineLevel="0" collapsed="false">
      <c r="A7" s="11" t="s">
        <v>69</v>
      </c>
      <c r="B7" s="11" t="n">
        <v>2</v>
      </c>
      <c r="C7" s="11" t="s">
        <v>240</v>
      </c>
      <c r="D7" s="13" t="n">
        <v>0.255</v>
      </c>
      <c r="E7" s="9" t="n">
        <f aca="false">D7*INDEX(Proposals!$Y$2:$Y$15,MATCH(A7,Proposals!$A$2:$A$15,0))</f>
        <v>4565775</v>
      </c>
    </row>
    <row r="8" customFormat="false" ht="15" hidden="false" customHeight="false" outlineLevel="0" collapsed="false">
      <c r="A8" s="11" t="s">
        <v>69</v>
      </c>
      <c r="B8" s="11" t="n">
        <v>3</v>
      </c>
      <c r="C8" s="11" t="s">
        <v>241</v>
      </c>
      <c r="D8" s="13" t="n">
        <v>0.255</v>
      </c>
      <c r="E8" s="9" t="n">
        <f aca="false">D8*INDEX(Proposals!$Y$2:$Y$15,MATCH(A8,Proposals!$A$2:$A$15,0))</f>
        <v>4565775</v>
      </c>
    </row>
    <row r="9" customFormat="false" ht="15" hidden="false" customHeight="false" outlineLevel="0" collapsed="false">
      <c r="A9" s="11" t="s">
        <v>69</v>
      </c>
      <c r="B9" s="11" t="n">
        <v>4</v>
      </c>
      <c r="C9" s="11" t="s">
        <v>242</v>
      </c>
      <c r="D9" s="13" t="n">
        <v>0.34</v>
      </c>
      <c r="E9" s="9" t="n">
        <f aca="false">D9*INDEX(Proposals!$Y$2:$Y$15,MATCH(A9,Proposals!$A$2:$A$15,0))</f>
        <v>6087700</v>
      </c>
    </row>
    <row r="10" customFormat="false" ht="15" hidden="false" customHeight="false" outlineLevel="0" collapsed="false">
      <c r="A10" s="11" t="s">
        <v>69</v>
      </c>
      <c r="B10" s="11" t="n">
        <v>5</v>
      </c>
      <c r="C10" s="11" t="s">
        <v>243</v>
      </c>
      <c r="D10" s="13" t="n">
        <v>0.05</v>
      </c>
      <c r="E10" s="9" t="n">
        <f aca="false">D10*INDEX(Proposals!$Y$2:$Y$15,MATCH(A10,Proposals!$A$2:$A$15,0))</f>
        <v>895250</v>
      </c>
    </row>
    <row r="11" customFormat="false" ht="15" hidden="false" customHeight="false" outlineLevel="0" collapsed="false">
      <c r="A11" s="11" t="s">
        <v>83</v>
      </c>
      <c r="B11" s="11" t="n">
        <v>1</v>
      </c>
      <c r="C11" s="11" t="s">
        <v>239</v>
      </c>
      <c r="D11" s="13" t="n">
        <v>0.1</v>
      </c>
      <c r="E11" s="9" t="n">
        <f aca="false">D11*INDEX(Proposals!$Y$2:$Y$15,MATCH(A11,Proposals!$A$2:$A$15,0))</f>
        <v>1445000</v>
      </c>
    </row>
    <row r="12" customFormat="false" ht="15" hidden="false" customHeight="false" outlineLevel="0" collapsed="false">
      <c r="A12" s="11" t="s">
        <v>83</v>
      </c>
      <c r="B12" s="11" t="n">
        <v>2</v>
      </c>
      <c r="C12" s="11" t="s">
        <v>240</v>
      </c>
      <c r="D12" s="13" t="n">
        <v>0.45</v>
      </c>
      <c r="E12" s="9" t="n">
        <f aca="false">D12*INDEX(Proposals!$Y$2:$Y$15,MATCH(A12,Proposals!$A$2:$A$15,0))</f>
        <v>6502500</v>
      </c>
    </row>
    <row r="13" customFormat="false" ht="15" hidden="false" customHeight="false" outlineLevel="0" collapsed="false">
      <c r="A13" s="11" t="s">
        <v>83</v>
      </c>
      <c r="B13" s="11" t="n">
        <v>3</v>
      </c>
      <c r="C13" s="11" t="s">
        <v>241</v>
      </c>
      <c r="D13" s="13" t="n">
        <v>0.45</v>
      </c>
      <c r="E13" s="9" t="n">
        <f aca="false">D13*INDEX(Proposals!$Y$2:$Y$15,MATCH(A13,Proposals!$A$2:$A$15,0))</f>
        <v>6502500</v>
      </c>
    </row>
    <row r="14" customFormat="false" ht="15" hidden="false" customHeight="false" outlineLevel="0" collapsed="false">
      <c r="A14" s="11" t="s">
        <v>97</v>
      </c>
      <c r="B14" s="11" t="n">
        <v>1</v>
      </c>
      <c r="C14" s="11" t="s">
        <v>239</v>
      </c>
      <c r="D14" s="13" t="n">
        <v>0.1</v>
      </c>
      <c r="E14" s="9" t="n">
        <f aca="false">D14*INDEX(Proposals!$Y$2:$Y$15,MATCH(A14,Proposals!$A$2:$A$15,0))</f>
        <v>1031000</v>
      </c>
    </row>
    <row r="15" customFormat="false" ht="15" hidden="false" customHeight="false" outlineLevel="0" collapsed="false">
      <c r="A15" s="11" t="s">
        <v>97</v>
      </c>
      <c r="B15" s="11" t="n">
        <v>2</v>
      </c>
      <c r="C15" s="11" t="s">
        <v>240</v>
      </c>
      <c r="D15" s="13" t="n">
        <v>0.313</v>
      </c>
      <c r="E15" s="9" t="n">
        <f aca="false">D15*INDEX(Proposals!$Y$2:$Y$15,MATCH(A15,Proposals!$A$2:$A$15,0))</f>
        <v>3227030</v>
      </c>
    </row>
    <row r="16" customFormat="false" ht="15" hidden="false" customHeight="false" outlineLevel="0" collapsed="false">
      <c r="A16" s="11" t="s">
        <v>97</v>
      </c>
      <c r="B16" s="11" t="n">
        <v>3</v>
      </c>
      <c r="C16" s="11" t="s">
        <v>241</v>
      </c>
      <c r="D16" s="13" t="n">
        <v>0.278</v>
      </c>
      <c r="E16" s="9" t="n">
        <f aca="false">D16*INDEX(Proposals!$Y$2:$Y$15,MATCH(A16,Proposals!$A$2:$A$15,0))</f>
        <v>2866180</v>
      </c>
    </row>
    <row r="17" customFormat="false" ht="15" hidden="false" customHeight="false" outlineLevel="0" collapsed="false">
      <c r="A17" s="11" t="s">
        <v>97</v>
      </c>
      <c r="B17" s="11" t="n">
        <v>4</v>
      </c>
      <c r="C17" s="11" t="s">
        <v>242</v>
      </c>
      <c r="D17" s="13" t="n">
        <v>0.309</v>
      </c>
      <c r="E17" s="9" t="n">
        <f aca="false">D17*INDEX(Proposals!$Y$2:$Y$15,MATCH(A17,Proposals!$A$2:$A$15,0))</f>
        <v>3185790</v>
      </c>
    </row>
    <row r="18" customFormat="false" ht="15" hidden="false" customHeight="false" outlineLevel="0" collapsed="false">
      <c r="A18" s="11" t="s">
        <v>106</v>
      </c>
      <c r="B18" s="11" t="n">
        <v>1</v>
      </c>
      <c r="C18" s="11" t="s">
        <v>239</v>
      </c>
      <c r="D18" s="13" t="n">
        <v>0.1</v>
      </c>
      <c r="E18" s="9" t="n">
        <f aca="false">D18*INDEX(Proposals!$Y$2:$Y$15,MATCH(A18,Proposals!$A$2:$A$15,0))</f>
        <v>108500</v>
      </c>
    </row>
    <row r="19" customFormat="false" ht="15" hidden="false" customHeight="false" outlineLevel="0" collapsed="false">
      <c r="A19" s="11" t="s">
        <v>106</v>
      </c>
      <c r="B19" s="11" t="n">
        <v>2</v>
      </c>
      <c r="C19" s="11" t="s">
        <v>240</v>
      </c>
      <c r="D19" s="13" t="n">
        <v>0.27</v>
      </c>
      <c r="E19" s="9" t="n">
        <f aca="false">D19*INDEX(Proposals!$Y$2:$Y$15,MATCH(A19,Proposals!$A$2:$A$15,0))</f>
        <v>292950</v>
      </c>
    </row>
    <row r="20" customFormat="false" ht="15" hidden="false" customHeight="false" outlineLevel="0" collapsed="false">
      <c r="A20" s="11" t="s">
        <v>106</v>
      </c>
      <c r="B20" s="11" t="n">
        <v>3</v>
      </c>
      <c r="C20" s="11" t="s">
        <v>241</v>
      </c>
      <c r="D20" s="13" t="n">
        <v>0.27</v>
      </c>
      <c r="E20" s="9" t="n">
        <f aca="false">D20*INDEX(Proposals!$Y$2:$Y$15,MATCH(A20,Proposals!$A$2:$A$15,0))</f>
        <v>292950</v>
      </c>
    </row>
    <row r="21" customFormat="false" ht="15" hidden="false" customHeight="false" outlineLevel="0" collapsed="false">
      <c r="A21" s="11" t="s">
        <v>106</v>
      </c>
      <c r="B21" s="11" t="n">
        <v>4</v>
      </c>
      <c r="C21" s="11" t="s">
        <v>242</v>
      </c>
      <c r="D21" s="13" t="n">
        <v>0.36</v>
      </c>
      <c r="E21" s="9" t="n">
        <f aca="false">D21*INDEX(Proposals!$Y$2:$Y$15,MATCH(A21,Proposals!$A$2:$A$15,0))</f>
        <v>390600</v>
      </c>
    </row>
    <row r="22" customFormat="false" ht="15" hidden="false" customHeight="false" outlineLevel="0" collapsed="false">
      <c r="A22" s="11" t="s">
        <v>119</v>
      </c>
      <c r="B22" s="11" t="n">
        <v>1</v>
      </c>
      <c r="C22" s="11" t="s">
        <v>239</v>
      </c>
      <c r="D22" s="13" t="n">
        <v>0.1</v>
      </c>
      <c r="E22" s="9" t="n">
        <f aca="false">D22*INDEX(Proposals!$Y$2:$Y$15,MATCH(A22,Proposals!$A$2:$A$15,0))</f>
        <v>71560</v>
      </c>
    </row>
    <row r="23" customFormat="false" ht="15" hidden="false" customHeight="false" outlineLevel="0" collapsed="false">
      <c r="A23" s="11" t="s">
        <v>119</v>
      </c>
      <c r="B23" s="11" t="n">
        <v>2</v>
      </c>
      <c r="C23" s="11" t="s">
        <v>240</v>
      </c>
      <c r="D23" s="13" t="n">
        <v>0.45</v>
      </c>
      <c r="E23" s="9" t="n">
        <f aca="false">D23*INDEX(Proposals!$Y$2:$Y$15,MATCH(A23,Proposals!$A$2:$A$15,0))</f>
        <v>322020</v>
      </c>
    </row>
    <row r="24" customFormat="false" ht="15" hidden="false" customHeight="false" outlineLevel="0" collapsed="false">
      <c r="A24" s="11" t="s">
        <v>119</v>
      </c>
      <c r="B24" s="11" t="n">
        <v>3</v>
      </c>
      <c r="C24" s="11" t="s">
        <v>241</v>
      </c>
      <c r="D24" s="13" t="n">
        <v>0.45</v>
      </c>
      <c r="E24" s="9" t="n">
        <f aca="false">D24*INDEX(Proposals!$Y$2:$Y$15,MATCH(A24,Proposals!$A$2:$A$15,0))</f>
        <v>322020</v>
      </c>
    </row>
    <row r="25" customFormat="false" ht="15" hidden="false" customHeight="false" outlineLevel="0" collapsed="false">
      <c r="A25" s="11" t="s">
        <v>126</v>
      </c>
      <c r="B25" s="11" t="n">
        <v>1</v>
      </c>
      <c r="C25" s="11" t="s">
        <v>239</v>
      </c>
      <c r="D25" s="13" t="n">
        <v>0.1</v>
      </c>
      <c r="E25" s="9" t="n">
        <f aca="false">D25*INDEX(Proposals!$Y$2:$Y$15,MATCH(A25,Proposals!$A$2:$A$15,0))</f>
        <v>150300</v>
      </c>
    </row>
    <row r="26" customFormat="false" ht="15" hidden="false" customHeight="false" outlineLevel="0" collapsed="false">
      <c r="A26" s="11" t="s">
        <v>126</v>
      </c>
      <c r="B26" s="11" t="n">
        <v>2</v>
      </c>
      <c r="C26" s="11" t="s">
        <v>244</v>
      </c>
      <c r="D26" s="13" t="n">
        <v>0.225</v>
      </c>
      <c r="E26" s="9" t="n">
        <f aca="false">D26*INDEX(Proposals!$Y$2:$Y$15,MATCH(A26,Proposals!$A$2:$A$15,0))</f>
        <v>338175</v>
      </c>
    </row>
    <row r="27" customFormat="false" ht="15" hidden="false" customHeight="false" outlineLevel="0" collapsed="false">
      <c r="A27" s="11" t="s">
        <v>126</v>
      </c>
      <c r="B27" s="11" t="n">
        <v>3</v>
      </c>
      <c r="C27" s="11" t="s">
        <v>240</v>
      </c>
      <c r="D27" s="13" t="n">
        <v>0.675</v>
      </c>
      <c r="E27" s="9" t="n">
        <f aca="false">D27*INDEX(Proposals!$Y$2:$Y$15,MATCH(A27,Proposals!$A$2:$A$15,0))</f>
        <v>1014525</v>
      </c>
    </row>
    <row r="28" customFormat="false" ht="15" hidden="false" customHeight="false" outlineLevel="0" collapsed="false">
      <c r="A28" s="11" t="s">
        <v>139</v>
      </c>
      <c r="B28" s="11" t="n">
        <v>1</v>
      </c>
      <c r="C28" s="11" t="s">
        <v>239</v>
      </c>
      <c r="D28" s="13" t="n">
        <v>0.1</v>
      </c>
      <c r="E28" s="9" t="n">
        <f aca="false">D28*INDEX(Proposals!$Y$2:$Y$15,MATCH(A28,Proposals!$A$2:$A$15,0))</f>
        <v>282200</v>
      </c>
    </row>
    <row r="29" customFormat="false" ht="15" hidden="false" customHeight="false" outlineLevel="0" collapsed="false">
      <c r="A29" s="11" t="s">
        <v>139</v>
      </c>
      <c r="B29" s="11" t="n">
        <v>2</v>
      </c>
      <c r="C29" s="11" t="s">
        <v>240</v>
      </c>
      <c r="D29" s="13" t="n">
        <v>0.236</v>
      </c>
      <c r="E29" s="9" t="n">
        <f aca="false">D29*INDEX(Proposals!$Y$2:$Y$15,MATCH(A29,Proposals!$A$2:$A$15,0))</f>
        <v>665992</v>
      </c>
    </row>
    <row r="30" customFormat="false" ht="15" hidden="false" customHeight="false" outlineLevel="0" collapsed="false">
      <c r="A30" s="11" t="s">
        <v>139</v>
      </c>
      <c r="B30" s="11" t="n">
        <v>3</v>
      </c>
      <c r="C30" s="11" t="s">
        <v>241</v>
      </c>
      <c r="D30" s="13" t="n">
        <v>0.236</v>
      </c>
      <c r="E30" s="9" t="n">
        <f aca="false">D30*INDEX(Proposals!$Y$2:$Y$15,MATCH(A30,Proposals!$A$2:$A$15,0))</f>
        <v>665992</v>
      </c>
    </row>
    <row r="31" customFormat="false" ht="15" hidden="false" customHeight="false" outlineLevel="0" collapsed="false">
      <c r="A31" s="11" t="s">
        <v>139</v>
      </c>
      <c r="B31" s="11" t="n">
        <v>4</v>
      </c>
      <c r="C31" s="11" t="s">
        <v>242</v>
      </c>
      <c r="D31" s="13" t="n">
        <v>0.315</v>
      </c>
      <c r="E31" s="9" t="n">
        <f aca="false">D31*INDEX(Proposals!$Y$2:$Y$15,MATCH(A31,Proposals!$A$2:$A$15,0))</f>
        <v>888930</v>
      </c>
    </row>
    <row r="32" customFormat="false" ht="15" hidden="false" customHeight="false" outlineLevel="0" collapsed="false">
      <c r="A32" s="11" t="s">
        <v>139</v>
      </c>
      <c r="B32" s="11" t="n">
        <v>5</v>
      </c>
      <c r="C32" s="11" t="s">
        <v>245</v>
      </c>
      <c r="D32" s="13" t="n">
        <v>0.113</v>
      </c>
      <c r="E32" s="9" t="n">
        <f aca="false">D32*INDEX(Proposals!$Y$2:$Y$15,MATCH(A32,Proposals!$A$2:$A$15,0))</f>
        <v>318886</v>
      </c>
    </row>
    <row r="33" customFormat="false" ht="15" hidden="false" customHeight="false" outlineLevel="0" collapsed="false">
      <c r="A33" s="11" t="s">
        <v>146</v>
      </c>
      <c r="B33" s="11" t="n">
        <v>1</v>
      </c>
      <c r="C33" s="11" t="s">
        <v>239</v>
      </c>
      <c r="D33" s="13" t="n">
        <v>0.1</v>
      </c>
      <c r="E33" s="9" t="n">
        <f aca="false">D33*INDEX(Proposals!$Y$2:$Y$15,MATCH(A33,Proposals!$A$2:$A$15,0))</f>
        <v>341000</v>
      </c>
    </row>
    <row r="34" customFormat="false" ht="15" hidden="false" customHeight="false" outlineLevel="0" collapsed="false">
      <c r="A34" s="11" t="s">
        <v>146</v>
      </c>
      <c r="B34" s="11" t="n">
        <v>2</v>
      </c>
      <c r="C34" s="11" t="s">
        <v>240</v>
      </c>
      <c r="D34" s="13" t="n">
        <v>0.248</v>
      </c>
      <c r="E34" s="9" t="n">
        <f aca="false">D34*INDEX(Proposals!$Y$2:$Y$15,MATCH(A34,Proposals!$A$2:$A$15,0))</f>
        <v>845680</v>
      </c>
    </row>
    <row r="35" customFormat="false" ht="15" hidden="false" customHeight="false" outlineLevel="0" collapsed="false">
      <c r="A35" s="11" t="s">
        <v>146</v>
      </c>
      <c r="B35" s="11" t="n">
        <v>3</v>
      </c>
      <c r="C35" s="11" t="s">
        <v>241</v>
      </c>
      <c r="D35" s="13" t="n">
        <v>0.248</v>
      </c>
      <c r="E35" s="9" t="n">
        <f aca="false">D35*INDEX(Proposals!$Y$2:$Y$15,MATCH(A35,Proposals!$A$2:$A$15,0))</f>
        <v>845680</v>
      </c>
    </row>
    <row r="36" customFormat="false" ht="15" hidden="false" customHeight="false" outlineLevel="0" collapsed="false">
      <c r="A36" s="11" t="s">
        <v>146</v>
      </c>
      <c r="B36" s="11" t="n">
        <v>4</v>
      </c>
      <c r="C36" s="11" t="s">
        <v>242</v>
      </c>
      <c r="D36" s="13" t="n">
        <v>0.331</v>
      </c>
      <c r="E36" s="9" t="n">
        <f aca="false">D36*INDEX(Proposals!$Y$2:$Y$15,MATCH(A36,Proposals!$A$2:$A$15,0))</f>
        <v>1128710</v>
      </c>
    </row>
    <row r="37" customFormat="false" ht="15" hidden="false" customHeight="false" outlineLevel="0" collapsed="false">
      <c r="A37" s="11" t="s">
        <v>146</v>
      </c>
      <c r="B37" s="11" t="n">
        <v>5</v>
      </c>
      <c r="C37" s="11" t="s">
        <v>243</v>
      </c>
      <c r="D37" s="13" t="n">
        <v>0.073</v>
      </c>
      <c r="E37" s="9" t="n">
        <f aca="false">D37*INDEX(Proposals!$Y$2:$Y$15,MATCH(A37,Proposals!$A$2:$A$15,0))</f>
        <v>248930</v>
      </c>
    </row>
    <row r="38" customFormat="false" ht="15" hidden="false" customHeight="false" outlineLevel="0" collapsed="false">
      <c r="A38" s="11" t="s">
        <v>158</v>
      </c>
      <c r="B38" s="11" t="n">
        <v>1</v>
      </c>
      <c r="C38" s="11" t="s">
        <v>239</v>
      </c>
      <c r="D38" s="13" t="n">
        <v>0.1</v>
      </c>
      <c r="E38" s="9" t="n">
        <f aca="false">D38*INDEX(Proposals!$Y$2:$Y$15,MATCH(A38,Proposals!$A$2:$A$15,0))</f>
        <v>179500</v>
      </c>
    </row>
    <row r="39" customFormat="false" ht="15" hidden="false" customHeight="false" outlineLevel="0" collapsed="false">
      <c r="A39" s="11" t="s">
        <v>158</v>
      </c>
      <c r="B39" s="11" t="n">
        <v>2</v>
      </c>
      <c r="C39" s="11" t="s">
        <v>240</v>
      </c>
      <c r="D39" s="13" t="n">
        <v>0.461</v>
      </c>
      <c r="E39" s="9" t="n">
        <f aca="false">D39*INDEX(Proposals!$Y$2:$Y$15,MATCH(A39,Proposals!$A$2:$A$15,0))</f>
        <v>827495</v>
      </c>
    </row>
    <row r="40" customFormat="false" ht="15" hidden="false" customHeight="false" outlineLevel="0" collapsed="false">
      <c r="A40" s="11" t="s">
        <v>158</v>
      </c>
      <c r="B40" s="11" t="n">
        <v>3</v>
      </c>
      <c r="C40" s="11" t="s">
        <v>241</v>
      </c>
      <c r="D40" s="13" t="n">
        <v>0.439</v>
      </c>
      <c r="E40" s="9" t="n">
        <f aca="false">D40*INDEX(Proposals!$Y$2:$Y$15,MATCH(A40,Proposals!$A$2:$A$15,0))</f>
        <v>788005</v>
      </c>
    </row>
    <row r="41" customFormat="false" ht="15" hidden="false" customHeight="false" outlineLevel="0" collapsed="false">
      <c r="A41" s="11" t="s">
        <v>167</v>
      </c>
      <c r="B41" s="11" t="n">
        <v>1</v>
      </c>
      <c r="C41" s="11" t="s">
        <v>239</v>
      </c>
      <c r="D41" s="13" t="n">
        <v>0.1</v>
      </c>
      <c r="E41" s="9" t="n">
        <f aca="false">D41*INDEX(Proposals!$Y$2:$Y$15,MATCH(A41,Proposals!$A$2:$A$15,0))</f>
        <v>1217000</v>
      </c>
    </row>
    <row r="42" customFormat="false" ht="15" hidden="false" customHeight="false" outlineLevel="0" collapsed="false">
      <c r="A42" s="11" t="s">
        <v>167</v>
      </c>
      <c r="B42" s="11" t="n">
        <v>2</v>
      </c>
      <c r="C42" s="11" t="s">
        <v>240</v>
      </c>
      <c r="D42" s="13" t="n">
        <v>0.27</v>
      </c>
      <c r="E42" s="9" t="n">
        <f aca="false">D42*INDEX(Proposals!$Y$2:$Y$15,MATCH(A42,Proposals!$A$2:$A$15,0))</f>
        <v>3285900</v>
      </c>
    </row>
    <row r="43" customFormat="false" ht="15" hidden="false" customHeight="false" outlineLevel="0" collapsed="false">
      <c r="A43" s="11" t="s">
        <v>167</v>
      </c>
      <c r="B43" s="11" t="n">
        <v>3</v>
      </c>
      <c r="C43" s="11" t="s">
        <v>241</v>
      </c>
      <c r="D43" s="13" t="n">
        <v>0.27</v>
      </c>
      <c r="E43" s="9" t="n">
        <f aca="false">D43*INDEX(Proposals!$Y$2:$Y$15,MATCH(A43,Proposals!$A$2:$A$15,0))</f>
        <v>3285900</v>
      </c>
    </row>
    <row r="44" customFormat="false" ht="15" hidden="false" customHeight="false" outlineLevel="0" collapsed="false">
      <c r="A44" s="11" t="s">
        <v>167</v>
      </c>
      <c r="B44" s="11" t="n">
        <v>4</v>
      </c>
      <c r="C44" s="11" t="s">
        <v>242</v>
      </c>
      <c r="D44" s="13" t="n">
        <v>0.36</v>
      </c>
      <c r="E44" s="9" t="n">
        <f aca="false">D44*INDEX(Proposals!$Y$2:$Y$15,MATCH(A44,Proposals!$A$2:$A$15,0))</f>
        <v>4381200</v>
      </c>
    </row>
    <row r="45" customFormat="false" ht="15" hidden="false" customHeight="false" outlineLevel="0" collapsed="false">
      <c r="A45" s="11" t="s">
        <v>179</v>
      </c>
      <c r="B45" s="11" t="n">
        <v>1</v>
      </c>
      <c r="C45" s="11" t="s">
        <v>239</v>
      </c>
      <c r="D45" s="13" t="n">
        <v>0.1</v>
      </c>
      <c r="E45" s="9" t="n">
        <f aca="false">D45*INDEX(Proposals!$Y$2:$Y$15,MATCH(A45,Proposals!$A$2:$A$15,0))</f>
        <v>713000</v>
      </c>
    </row>
    <row r="46" customFormat="false" ht="15" hidden="false" customHeight="false" outlineLevel="0" collapsed="false">
      <c r="A46" s="11" t="s">
        <v>179</v>
      </c>
      <c r="B46" s="11" t="n">
        <v>2</v>
      </c>
      <c r="C46" s="11" t="s">
        <v>244</v>
      </c>
      <c r="D46" s="13" t="n">
        <v>0.27</v>
      </c>
      <c r="E46" s="9" t="n">
        <f aca="false">D46*INDEX(Proposals!$Y$2:$Y$15,MATCH(A46,Proposals!$A$2:$A$15,0))</f>
        <v>1925100</v>
      </c>
    </row>
    <row r="47" customFormat="false" ht="15" hidden="false" customHeight="false" outlineLevel="0" collapsed="false">
      <c r="A47" s="11" t="s">
        <v>179</v>
      </c>
      <c r="B47" s="11" t="n">
        <v>3</v>
      </c>
      <c r="C47" s="11" t="s">
        <v>240</v>
      </c>
      <c r="D47" s="13" t="n">
        <v>0.63</v>
      </c>
      <c r="E47" s="9" t="n">
        <f aca="false">D47*INDEX(Proposals!$Y$2:$Y$15,MATCH(A47,Proposals!$A$2:$A$15,0))</f>
        <v>4491900</v>
      </c>
    </row>
    <row r="48" customFormat="false" ht="15" hidden="false" customHeight="false" outlineLevel="0" collapsed="false">
      <c r="A48" s="11" t="s">
        <v>187</v>
      </c>
      <c r="B48" s="11" t="n">
        <v>1</v>
      </c>
      <c r="C48" s="11" t="s">
        <v>239</v>
      </c>
      <c r="D48" s="13" t="n">
        <v>0.1</v>
      </c>
      <c r="E48" s="9" t="n">
        <f aca="false">D48*INDEX(Proposals!$Y$2:$Y$15,MATCH(A48,Proposals!$A$2:$A$15,0))</f>
        <v>17970000</v>
      </c>
    </row>
    <row r="49" customFormat="false" ht="15" hidden="false" customHeight="false" outlineLevel="0" collapsed="false">
      <c r="A49" s="11" t="s">
        <v>187</v>
      </c>
      <c r="B49" s="11" t="n">
        <v>2</v>
      </c>
      <c r="C49" s="11" t="s">
        <v>240</v>
      </c>
      <c r="D49" s="13" t="n">
        <v>0.27</v>
      </c>
      <c r="E49" s="9" t="n">
        <f aca="false">D49*INDEX(Proposals!$Y$2:$Y$15,MATCH(A49,Proposals!$A$2:$A$15,0))</f>
        <v>48519000</v>
      </c>
    </row>
    <row r="50" customFormat="false" ht="15" hidden="false" customHeight="false" outlineLevel="0" collapsed="false">
      <c r="A50" s="11" t="s">
        <v>187</v>
      </c>
      <c r="B50" s="11" t="n">
        <v>3</v>
      </c>
      <c r="C50" s="11" t="s">
        <v>241</v>
      </c>
      <c r="D50" s="13" t="n">
        <v>0.27</v>
      </c>
      <c r="E50" s="9" t="n">
        <f aca="false">D50*INDEX(Proposals!$Y$2:$Y$15,MATCH(A50,Proposals!$A$2:$A$15,0))</f>
        <v>48519000</v>
      </c>
    </row>
    <row r="51" customFormat="false" ht="15" hidden="false" customHeight="false" outlineLevel="0" collapsed="false">
      <c r="A51" s="11" t="s">
        <v>187</v>
      </c>
      <c r="B51" s="11" t="n">
        <v>4</v>
      </c>
      <c r="C51" s="11" t="s">
        <v>242</v>
      </c>
      <c r="D51" s="13" t="n">
        <v>0.36</v>
      </c>
      <c r="E51" s="9" t="n">
        <f aca="false">D51*INDEX(Proposals!$Y$2:$Y$15,MATCH(A51,Proposals!$A$2:$A$15,0))</f>
        <v>64692000</v>
      </c>
    </row>
    <row r="52" customFormat="false" ht="15" hidden="false" customHeight="false" outlineLevel="0" collapsed="false">
      <c r="A52" s="11" t="s">
        <v>198</v>
      </c>
      <c r="B52" s="11" t="n">
        <v>1</v>
      </c>
      <c r="C52" s="11" t="s">
        <v>239</v>
      </c>
      <c r="D52" s="13" t="n">
        <v>0.1</v>
      </c>
      <c r="E52" s="9" t="n">
        <f aca="false">D52*INDEX(Proposals!$Y$2:$Y$15,MATCH(A52,Proposals!$A$2:$A$15,0))</f>
        <v>180000</v>
      </c>
    </row>
    <row r="53" customFormat="false" ht="15" hidden="false" customHeight="false" outlineLevel="0" collapsed="false">
      <c r="A53" s="11" t="s">
        <v>198</v>
      </c>
      <c r="B53" s="11" t="n">
        <v>2</v>
      </c>
      <c r="C53" s="11" t="s">
        <v>240</v>
      </c>
      <c r="D53" s="13" t="n">
        <v>0.45</v>
      </c>
      <c r="E53" s="9" t="n">
        <f aca="false">D53*INDEX(Proposals!$Y$2:$Y$15,MATCH(A53,Proposals!$A$2:$A$15,0))</f>
        <v>810000</v>
      </c>
    </row>
    <row r="54" customFormat="false" ht="15" hidden="false" customHeight="false" outlineLevel="0" collapsed="false">
      <c r="A54" s="11" t="s">
        <v>198</v>
      </c>
      <c r="B54" s="11" t="n">
        <v>3</v>
      </c>
      <c r="C54" s="11" t="s">
        <v>241</v>
      </c>
      <c r="D54" s="13" t="n">
        <v>0.45</v>
      </c>
      <c r="E54" s="9" t="n">
        <f aca="false">D54*INDEX(Proposals!$Y$2:$Y$15,MATCH(A54,Proposals!$A$2:$A$15,0))</f>
        <v>810000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3" min="3" style="0" width="6"/>
  </cols>
  <sheetData>
    <row r="1" customFormat="false" ht="15" hidden="false" customHeight="false" outlineLevel="0" collapsed="false">
      <c r="A1" s="4" t="s">
        <v>16</v>
      </c>
      <c r="B1" s="4" t="s">
        <v>246</v>
      </c>
      <c r="C1" s="4" t="s">
        <v>228</v>
      </c>
    </row>
    <row r="2" customFormat="false" ht="15" hidden="false" customHeight="false" outlineLevel="0" collapsed="false">
      <c r="A2" s="11" t="s">
        <v>49</v>
      </c>
      <c r="B2" s="11" t="s">
        <v>247</v>
      </c>
      <c r="C2" s="5" t="n">
        <v>3</v>
      </c>
    </row>
    <row r="3" customFormat="false" ht="15" hidden="false" customHeight="false" outlineLevel="0" collapsed="false">
      <c r="A3" s="11" t="s">
        <v>49</v>
      </c>
      <c r="B3" s="11" t="s">
        <v>248</v>
      </c>
      <c r="C3" s="5" t="n">
        <v>10</v>
      </c>
    </row>
    <row r="4" customFormat="false" ht="15" hidden="false" customHeight="false" outlineLevel="0" collapsed="false">
      <c r="A4" s="11" t="s">
        <v>49</v>
      </c>
      <c r="B4" s="11" t="s">
        <v>249</v>
      </c>
      <c r="C4" s="5" t="n">
        <v>4</v>
      </c>
    </row>
    <row r="5" customFormat="false" ht="15" hidden="false" customHeight="false" outlineLevel="0" collapsed="false">
      <c r="A5" s="11" t="s">
        <v>69</v>
      </c>
      <c r="B5" s="11" t="s">
        <v>247</v>
      </c>
      <c r="C5" s="5" t="n">
        <v>4</v>
      </c>
    </row>
    <row r="6" customFormat="false" ht="15" hidden="false" customHeight="false" outlineLevel="0" collapsed="false">
      <c r="A6" s="11" t="s">
        <v>69</v>
      </c>
      <c r="B6" s="11" t="s">
        <v>248</v>
      </c>
      <c r="C6" s="5" t="n">
        <v>16</v>
      </c>
    </row>
    <row r="7" customFormat="false" ht="15" hidden="false" customHeight="false" outlineLevel="0" collapsed="false">
      <c r="A7" s="11" t="s">
        <v>69</v>
      </c>
      <c r="B7" s="11" t="s">
        <v>249</v>
      </c>
      <c r="C7" s="5" t="n">
        <v>5</v>
      </c>
    </row>
    <row r="8" customFormat="false" ht="15" hidden="false" customHeight="false" outlineLevel="0" collapsed="false">
      <c r="A8" s="11" t="s">
        <v>83</v>
      </c>
      <c r="B8" s="11" t="s">
        <v>247</v>
      </c>
      <c r="C8" s="5" t="n">
        <v>2</v>
      </c>
    </row>
    <row r="9" customFormat="false" ht="15" hidden="false" customHeight="false" outlineLevel="0" collapsed="false">
      <c r="A9" s="11" t="s">
        <v>83</v>
      </c>
      <c r="B9" s="11" t="s">
        <v>248</v>
      </c>
      <c r="C9" s="5" t="n">
        <v>14</v>
      </c>
    </row>
    <row r="10" customFormat="false" ht="15" hidden="false" customHeight="false" outlineLevel="0" collapsed="false">
      <c r="A10" s="11" t="s">
        <v>83</v>
      </c>
      <c r="B10" s="11" t="s">
        <v>249</v>
      </c>
      <c r="C10" s="5" t="n">
        <v>3</v>
      </c>
    </row>
    <row r="11" customFormat="false" ht="15" hidden="false" customHeight="false" outlineLevel="0" collapsed="false">
      <c r="A11" s="11" t="s">
        <v>97</v>
      </c>
      <c r="B11" s="11" t="s">
        <v>247</v>
      </c>
      <c r="C11" s="5" t="n">
        <v>3</v>
      </c>
    </row>
    <row r="12" customFormat="false" ht="15" hidden="false" customHeight="false" outlineLevel="0" collapsed="false">
      <c r="A12" s="11" t="s">
        <v>97</v>
      </c>
      <c r="B12" s="11" t="s">
        <v>248</v>
      </c>
      <c r="C12" s="5" t="n">
        <v>12</v>
      </c>
    </row>
    <row r="13" customFormat="false" ht="15" hidden="false" customHeight="false" outlineLevel="0" collapsed="false">
      <c r="A13" s="11" t="s">
        <v>97</v>
      </c>
      <c r="B13" s="11" t="s">
        <v>249</v>
      </c>
      <c r="C13" s="5" t="n">
        <v>4</v>
      </c>
    </row>
    <row r="14" customFormat="false" ht="15" hidden="false" customHeight="false" outlineLevel="0" collapsed="false">
      <c r="A14" s="11" t="s">
        <v>97</v>
      </c>
      <c r="B14" s="11" t="s">
        <v>250</v>
      </c>
      <c r="C14" s="5" t="n">
        <v>1</v>
      </c>
    </row>
    <row r="15" customFormat="false" ht="15" hidden="false" customHeight="false" outlineLevel="0" collapsed="false">
      <c r="A15" s="11" t="s">
        <v>106</v>
      </c>
      <c r="B15" s="11" t="s">
        <v>247</v>
      </c>
      <c r="C15" s="5" t="n">
        <v>3</v>
      </c>
    </row>
    <row r="16" customFormat="false" ht="15" hidden="false" customHeight="false" outlineLevel="0" collapsed="false">
      <c r="A16" s="11" t="s">
        <v>106</v>
      </c>
      <c r="B16" s="11" t="s">
        <v>248</v>
      </c>
      <c r="C16" s="5" t="n">
        <v>8</v>
      </c>
    </row>
    <row r="17" customFormat="false" ht="15" hidden="false" customHeight="false" outlineLevel="0" collapsed="false">
      <c r="A17" s="11" t="s">
        <v>106</v>
      </c>
      <c r="B17" s="11" t="s">
        <v>249</v>
      </c>
      <c r="C17" s="5" t="n">
        <v>4</v>
      </c>
    </row>
    <row r="18" customFormat="false" ht="15" hidden="false" customHeight="false" outlineLevel="0" collapsed="false">
      <c r="A18" s="11" t="s">
        <v>119</v>
      </c>
      <c r="B18" s="11" t="s">
        <v>247</v>
      </c>
      <c r="C18" s="5" t="n">
        <v>2</v>
      </c>
    </row>
    <row r="19" customFormat="false" ht="15" hidden="false" customHeight="false" outlineLevel="0" collapsed="false">
      <c r="A19" s="11" t="s">
        <v>119</v>
      </c>
      <c r="B19" s="11" t="s">
        <v>248</v>
      </c>
      <c r="C19" s="5" t="n">
        <v>9</v>
      </c>
    </row>
    <row r="20" customFormat="false" ht="15" hidden="false" customHeight="false" outlineLevel="0" collapsed="false">
      <c r="A20" s="11" t="s">
        <v>119</v>
      </c>
      <c r="B20" s="11" t="s">
        <v>249</v>
      </c>
      <c r="C20" s="5" t="n">
        <v>3</v>
      </c>
    </row>
    <row r="21" customFormat="false" ht="15" hidden="false" customHeight="false" outlineLevel="0" collapsed="false">
      <c r="A21" s="11" t="s">
        <v>126</v>
      </c>
      <c r="B21" s="11" t="s">
        <v>247</v>
      </c>
      <c r="C21" s="5" t="n">
        <v>2</v>
      </c>
    </row>
    <row r="22" customFormat="false" ht="15" hidden="false" customHeight="false" outlineLevel="0" collapsed="false">
      <c r="A22" s="11" t="s">
        <v>126</v>
      </c>
      <c r="B22" s="11" t="s">
        <v>248</v>
      </c>
      <c r="C22" s="5" t="n">
        <v>6</v>
      </c>
    </row>
    <row r="23" customFormat="false" ht="15" hidden="false" customHeight="false" outlineLevel="0" collapsed="false">
      <c r="A23" s="11" t="s">
        <v>126</v>
      </c>
      <c r="B23" s="11" t="s">
        <v>249</v>
      </c>
      <c r="C23" s="5" t="n">
        <v>3</v>
      </c>
    </row>
    <row r="24" customFormat="false" ht="15" hidden="false" customHeight="false" outlineLevel="0" collapsed="false">
      <c r="A24" s="11" t="s">
        <v>139</v>
      </c>
      <c r="B24" s="11" t="s">
        <v>247</v>
      </c>
      <c r="C24" s="5" t="n">
        <v>4</v>
      </c>
    </row>
    <row r="25" customFormat="false" ht="15" hidden="false" customHeight="false" outlineLevel="0" collapsed="false">
      <c r="A25" s="11" t="s">
        <v>139</v>
      </c>
      <c r="B25" s="11" t="s">
        <v>248</v>
      </c>
      <c r="C25" s="5" t="n">
        <v>12</v>
      </c>
    </row>
    <row r="26" customFormat="false" ht="15" hidden="false" customHeight="false" outlineLevel="0" collapsed="false">
      <c r="A26" s="11" t="s">
        <v>139</v>
      </c>
      <c r="B26" s="11" t="s">
        <v>249</v>
      </c>
      <c r="C26" s="5" t="n">
        <v>5</v>
      </c>
    </row>
    <row r="27" customFormat="false" ht="15" hidden="false" customHeight="false" outlineLevel="0" collapsed="false">
      <c r="A27" s="11" t="s">
        <v>146</v>
      </c>
      <c r="B27" s="11" t="s">
        <v>247</v>
      </c>
      <c r="C27" s="5" t="n">
        <v>4</v>
      </c>
    </row>
    <row r="28" customFormat="false" ht="15" hidden="false" customHeight="false" outlineLevel="0" collapsed="false">
      <c r="A28" s="11" t="s">
        <v>146</v>
      </c>
      <c r="B28" s="11" t="s">
        <v>248</v>
      </c>
      <c r="C28" s="5" t="n">
        <v>14</v>
      </c>
    </row>
    <row r="29" customFormat="false" ht="15" hidden="false" customHeight="false" outlineLevel="0" collapsed="false">
      <c r="A29" s="11" t="s">
        <v>146</v>
      </c>
      <c r="B29" s="11" t="s">
        <v>249</v>
      </c>
      <c r="C29" s="5" t="n">
        <v>5</v>
      </c>
    </row>
    <row r="30" customFormat="false" ht="15" hidden="false" customHeight="false" outlineLevel="0" collapsed="false">
      <c r="A30" s="11" t="s">
        <v>158</v>
      </c>
      <c r="B30" s="11" t="s">
        <v>247</v>
      </c>
      <c r="C30" s="5" t="n">
        <v>2</v>
      </c>
    </row>
    <row r="31" customFormat="false" ht="15" hidden="false" customHeight="false" outlineLevel="0" collapsed="false">
      <c r="A31" s="11" t="s">
        <v>158</v>
      </c>
      <c r="B31" s="11" t="s">
        <v>248</v>
      </c>
      <c r="C31" s="5" t="n">
        <v>12</v>
      </c>
    </row>
    <row r="32" customFormat="false" ht="15" hidden="false" customHeight="false" outlineLevel="0" collapsed="false">
      <c r="A32" s="11" t="s">
        <v>158</v>
      </c>
      <c r="B32" s="11" t="s">
        <v>249</v>
      </c>
      <c r="C32" s="5" t="n">
        <v>3</v>
      </c>
    </row>
    <row r="33" customFormat="false" ht="15" hidden="false" customHeight="false" outlineLevel="0" collapsed="false">
      <c r="A33" s="11" t="s">
        <v>158</v>
      </c>
      <c r="B33" s="11" t="s">
        <v>250</v>
      </c>
      <c r="C33" s="5" t="n">
        <v>1</v>
      </c>
    </row>
    <row r="34" customFormat="false" ht="15" hidden="false" customHeight="false" outlineLevel="0" collapsed="false">
      <c r="A34" s="11" t="s">
        <v>167</v>
      </c>
      <c r="B34" s="11" t="s">
        <v>247</v>
      </c>
      <c r="C34" s="5" t="n">
        <v>3</v>
      </c>
    </row>
    <row r="35" customFormat="false" ht="15" hidden="false" customHeight="false" outlineLevel="0" collapsed="false">
      <c r="A35" s="11" t="s">
        <v>167</v>
      </c>
      <c r="B35" s="11" t="s">
        <v>248</v>
      </c>
      <c r="C35" s="5" t="n">
        <v>12</v>
      </c>
    </row>
    <row r="36" customFormat="false" ht="15" hidden="false" customHeight="false" outlineLevel="0" collapsed="false">
      <c r="A36" s="11" t="s">
        <v>167</v>
      </c>
      <c r="B36" s="11" t="s">
        <v>249</v>
      </c>
      <c r="C36" s="5" t="n">
        <v>4</v>
      </c>
    </row>
    <row r="37" customFormat="false" ht="15" hidden="false" customHeight="false" outlineLevel="0" collapsed="false">
      <c r="A37" s="11" t="s">
        <v>179</v>
      </c>
      <c r="B37" s="11" t="s">
        <v>247</v>
      </c>
      <c r="C37" s="5" t="n">
        <v>2</v>
      </c>
    </row>
    <row r="38" customFormat="false" ht="15" hidden="false" customHeight="false" outlineLevel="0" collapsed="false">
      <c r="A38" s="11" t="s">
        <v>179</v>
      </c>
      <c r="B38" s="11" t="s">
        <v>248</v>
      </c>
      <c r="C38" s="5" t="n">
        <v>10</v>
      </c>
    </row>
    <row r="39" customFormat="false" ht="15" hidden="false" customHeight="false" outlineLevel="0" collapsed="false">
      <c r="A39" s="11" t="s">
        <v>179</v>
      </c>
      <c r="B39" s="11" t="s">
        <v>249</v>
      </c>
      <c r="C39" s="5" t="n">
        <v>3</v>
      </c>
    </row>
    <row r="40" customFormat="false" ht="15" hidden="false" customHeight="false" outlineLevel="0" collapsed="false">
      <c r="A40" s="11" t="s">
        <v>179</v>
      </c>
      <c r="B40" s="11" t="s">
        <v>250</v>
      </c>
      <c r="C40" s="5" t="n">
        <v>1</v>
      </c>
    </row>
    <row r="41" customFormat="false" ht="15" hidden="false" customHeight="false" outlineLevel="0" collapsed="false">
      <c r="A41" s="11" t="s">
        <v>187</v>
      </c>
      <c r="B41" s="11" t="s">
        <v>247</v>
      </c>
      <c r="C41" s="5" t="n">
        <v>3</v>
      </c>
    </row>
    <row r="42" customFormat="false" ht="15" hidden="false" customHeight="false" outlineLevel="0" collapsed="false">
      <c r="A42" s="11" t="s">
        <v>187</v>
      </c>
      <c r="B42" s="11" t="s">
        <v>248</v>
      </c>
      <c r="C42" s="5" t="n">
        <v>10</v>
      </c>
    </row>
    <row r="43" customFormat="false" ht="15" hidden="false" customHeight="false" outlineLevel="0" collapsed="false">
      <c r="A43" s="11" t="s">
        <v>187</v>
      </c>
      <c r="B43" s="11" t="s">
        <v>249</v>
      </c>
      <c r="C43" s="5" t="n">
        <v>4</v>
      </c>
    </row>
    <row r="44" customFormat="false" ht="15" hidden="false" customHeight="false" outlineLevel="0" collapsed="false">
      <c r="A44" s="11" t="s">
        <v>198</v>
      </c>
      <c r="B44" s="11" t="s">
        <v>247</v>
      </c>
      <c r="C44" s="5" t="n">
        <v>2</v>
      </c>
    </row>
    <row r="45" customFormat="false" ht="15" hidden="false" customHeight="false" outlineLevel="0" collapsed="false">
      <c r="A45" s="11" t="s">
        <v>198</v>
      </c>
      <c r="B45" s="11" t="s">
        <v>248</v>
      </c>
      <c r="C45" s="5" t="n">
        <v>6</v>
      </c>
    </row>
    <row r="46" customFormat="false" ht="15" hidden="false" customHeight="false" outlineLevel="0" collapsed="false">
      <c r="A46" s="11" t="s">
        <v>198</v>
      </c>
      <c r="B46" s="11" t="s">
        <v>249</v>
      </c>
      <c r="C46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4" t="s">
        <v>16</v>
      </c>
      <c r="B1" s="4" t="s">
        <v>251</v>
      </c>
      <c r="C1" s="4" t="s">
        <v>252</v>
      </c>
      <c r="D1" s="4" t="s">
        <v>253</v>
      </c>
    </row>
    <row r="2" customFormat="false" ht="15" hidden="false" customHeight="false" outlineLevel="0" collapsed="false">
      <c r="A2" s="11" t="s">
        <v>69</v>
      </c>
      <c r="B2" s="11" t="s">
        <v>254</v>
      </c>
      <c r="C2" s="11" t="s">
        <v>255</v>
      </c>
      <c r="D2" s="11" t="s">
        <v>256</v>
      </c>
    </row>
    <row r="3" customFormat="false" ht="15" hidden="false" customHeight="false" outlineLevel="0" collapsed="false">
      <c r="A3" s="11" t="s">
        <v>83</v>
      </c>
      <c r="B3" s="11" t="s">
        <v>257</v>
      </c>
      <c r="C3" s="11" t="s">
        <v>258</v>
      </c>
      <c r="D3" s="11" t="s">
        <v>259</v>
      </c>
    </row>
    <row r="4" customFormat="false" ht="15" hidden="false" customHeight="false" outlineLevel="0" collapsed="false">
      <c r="A4" s="11" t="s">
        <v>146</v>
      </c>
      <c r="B4" s="11" t="s">
        <v>257</v>
      </c>
      <c r="C4" s="11" t="s">
        <v>258</v>
      </c>
      <c r="D4" s="11" t="s">
        <v>259</v>
      </c>
    </row>
    <row r="5" customFormat="false" ht="15" hidden="false" customHeight="false" outlineLevel="0" collapsed="false">
      <c r="A5" s="11" t="s">
        <v>146</v>
      </c>
      <c r="B5" s="11" t="s">
        <v>260</v>
      </c>
      <c r="C5" s="11" t="s">
        <v>261</v>
      </c>
      <c r="D5" s="11" t="s">
        <v>262</v>
      </c>
    </row>
    <row r="6" customFormat="false" ht="15" hidden="false" customHeight="false" outlineLevel="0" collapsed="false">
      <c r="A6" s="11" t="s">
        <v>179</v>
      </c>
      <c r="B6" s="11" t="s">
        <v>260</v>
      </c>
      <c r="C6" s="11" t="s">
        <v>261</v>
      </c>
      <c r="D6" s="11" t="s">
        <v>262</v>
      </c>
    </row>
    <row r="7" customFormat="false" ht="15" hidden="false" customHeight="false" outlineLevel="0" collapsed="false">
      <c r="A7" s="11" t="s">
        <v>187</v>
      </c>
      <c r="B7" s="11" t="s">
        <v>257</v>
      </c>
      <c r="C7" s="11" t="s">
        <v>258</v>
      </c>
      <c r="D7" s="11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16</v>
      </c>
      <c r="B1" s="4" t="s">
        <v>263</v>
      </c>
      <c r="C1" s="4" t="s">
        <v>264</v>
      </c>
      <c r="D1" s="4" t="s">
        <v>265</v>
      </c>
      <c r="E1" s="4" t="s">
        <v>230</v>
      </c>
    </row>
    <row r="2" customFormat="false" ht="15" hidden="false" customHeight="false" outlineLevel="0" collapsed="false">
      <c r="A2" s="11" t="s">
        <v>49</v>
      </c>
      <c r="B2" s="11" t="s">
        <v>266</v>
      </c>
      <c r="C2" s="11" t="s">
        <v>267</v>
      </c>
      <c r="D2" s="11" t="s">
        <v>268</v>
      </c>
      <c r="E2" s="12" t="s">
        <v>269</v>
      </c>
    </row>
    <row r="3" customFormat="false" ht="15" hidden="false" customHeight="false" outlineLevel="0" collapsed="false">
      <c r="A3" s="11" t="s">
        <v>49</v>
      </c>
      <c r="B3" s="11" t="s">
        <v>270</v>
      </c>
      <c r="C3" s="11" t="s">
        <v>271</v>
      </c>
      <c r="D3" s="11" t="s">
        <v>272</v>
      </c>
      <c r="E3" s="11" t="s">
        <v>273</v>
      </c>
    </row>
    <row r="4" customFormat="false" ht="15" hidden="false" customHeight="false" outlineLevel="0" collapsed="false">
      <c r="A4" s="11" t="s">
        <v>49</v>
      </c>
      <c r="B4" s="11" t="s">
        <v>274</v>
      </c>
      <c r="C4" s="11" t="s">
        <v>275</v>
      </c>
      <c r="D4" s="11" t="s">
        <v>272</v>
      </c>
      <c r="E4" s="12" t="s">
        <v>276</v>
      </c>
    </row>
    <row r="5" customFormat="false" ht="15" hidden="false" customHeight="false" outlineLevel="0" collapsed="false">
      <c r="A5" s="11" t="s">
        <v>49</v>
      </c>
      <c r="B5" s="11" t="s">
        <v>277</v>
      </c>
      <c r="C5" s="11" t="s">
        <v>278</v>
      </c>
      <c r="D5" s="11" t="s">
        <v>272</v>
      </c>
      <c r="E5" s="11" t="s">
        <v>279</v>
      </c>
    </row>
    <row r="6" customFormat="false" ht="15" hidden="false" customHeight="false" outlineLevel="0" collapsed="false">
      <c r="A6" s="11" t="s">
        <v>49</v>
      </c>
      <c r="B6" s="11" t="s">
        <v>280</v>
      </c>
      <c r="C6" s="11" t="s">
        <v>281</v>
      </c>
      <c r="D6" s="11" t="s">
        <v>52</v>
      </c>
      <c r="E6" s="11" t="s">
        <v>282</v>
      </c>
    </row>
    <row r="7" customFormat="false" ht="15" hidden="false" customHeight="false" outlineLevel="0" collapsed="false">
      <c r="A7" s="11" t="s">
        <v>49</v>
      </c>
      <c r="B7" s="11" t="s">
        <v>283</v>
      </c>
      <c r="C7" s="11" t="s">
        <v>284</v>
      </c>
      <c r="D7" s="11" t="s">
        <v>52</v>
      </c>
      <c r="E7" s="11" t="s">
        <v>285</v>
      </c>
    </row>
    <row r="8" customFormat="false" ht="23.85" hidden="false" customHeight="false" outlineLevel="0" collapsed="false">
      <c r="A8" s="11" t="s">
        <v>69</v>
      </c>
      <c r="B8" s="11" t="s">
        <v>266</v>
      </c>
      <c r="C8" s="11" t="s">
        <v>286</v>
      </c>
      <c r="D8" s="11" t="s">
        <v>268</v>
      </c>
      <c r="E8" s="12" t="s">
        <v>287</v>
      </c>
    </row>
    <row r="9" customFormat="false" ht="15" hidden="false" customHeight="false" outlineLevel="0" collapsed="false">
      <c r="A9" s="11" t="s">
        <v>69</v>
      </c>
      <c r="B9" s="11" t="s">
        <v>270</v>
      </c>
      <c r="C9" s="11" t="s">
        <v>288</v>
      </c>
      <c r="D9" s="11" t="s">
        <v>272</v>
      </c>
      <c r="E9" s="11" t="s">
        <v>289</v>
      </c>
    </row>
    <row r="10" customFormat="false" ht="15" hidden="false" customHeight="false" outlineLevel="0" collapsed="false">
      <c r="A10" s="11" t="s">
        <v>69</v>
      </c>
      <c r="B10" s="11" t="s">
        <v>274</v>
      </c>
      <c r="C10" s="11" t="s">
        <v>290</v>
      </c>
      <c r="D10" s="11" t="s">
        <v>272</v>
      </c>
      <c r="E10" s="12" t="s">
        <v>291</v>
      </c>
    </row>
    <row r="11" customFormat="false" ht="15" hidden="false" customHeight="false" outlineLevel="0" collapsed="false">
      <c r="A11" s="11" t="s">
        <v>69</v>
      </c>
      <c r="B11" s="11" t="s">
        <v>277</v>
      </c>
      <c r="C11" s="11" t="s">
        <v>292</v>
      </c>
      <c r="D11" s="11" t="s">
        <v>272</v>
      </c>
      <c r="E11" s="11" t="s">
        <v>293</v>
      </c>
    </row>
    <row r="12" customFormat="false" ht="15" hidden="false" customHeight="false" outlineLevel="0" collapsed="false">
      <c r="A12" s="11" t="s">
        <v>69</v>
      </c>
      <c r="B12" s="11" t="s">
        <v>294</v>
      </c>
      <c r="C12" s="11" t="s">
        <v>295</v>
      </c>
      <c r="D12" s="11" t="s">
        <v>272</v>
      </c>
      <c r="E12" s="11" t="s">
        <v>296</v>
      </c>
    </row>
    <row r="13" customFormat="false" ht="15" hidden="false" customHeight="false" outlineLevel="0" collapsed="false">
      <c r="A13" s="11" t="s">
        <v>69</v>
      </c>
      <c r="B13" s="11" t="s">
        <v>280</v>
      </c>
      <c r="C13" s="11" t="s">
        <v>297</v>
      </c>
      <c r="D13" s="11" t="s">
        <v>52</v>
      </c>
      <c r="E13" s="11" t="s">
        <v>282</v>
      </c>
    </row>
    <row r="14" customFormat="false" ht="15" hidden="false" customHeight="false" outlineLevel="0" collapsed="false">
      <c r="A14" s="11" t="s">
        <v>69</v>
      </c>
      <c r="B14" s="11" t="s">
        <v>283</v>
      </c>
      <c r="C14" s="11" t="s">
        <v>284</v>
      </c>
      <c r="D14" s="11" t="s">
        <v>52</v>
      </c>
      <c r="E14" s="11" t="s">
        <v>285</v>
      </c>
    </row>
    <row r="15" customFormat="false" ht="23.85" hidden="false" customHeight="false" outlineLevel="0" collapsed="false">
      <c r="A15" s="11" t="s">
        <v>83</v>
      </c>
      <c r="B15" s="11" t="s">
        <v>266</v>
      </c>
      <c r="C15" s="11" t="s">
        <v>298</v>
      </c>
      <c r="D15" s="11" t="s">
        <v>299</v>
      </c>
      <c r="E15" s="12" t="s">
        <v>300</v>
      </c>
    </row>
    <row r="16" customFormat="false" ht="15" hidden="false" customHeight="false" outlineLevel="0" collapsed="false">
      <c r="A16" s="11" t="s">
        <v>83</v>
      </c>
      <c r="B16" s="11" t="s">
        <v>270</v>
      </c>
      <c r="C16" s="11" t="s">
        <v>301</v>
      </c>
      <c r="D16" s="11" t="s">
        <v>272</v>
      </c>
      <c r="E16" s="11" t="s">
        <v>273</v>
      </c>
    </row>
    <row r="17" customFormat="false" ht="15" hidden="false" customHeight="false" outlineLevel="0" collapsed="false">
      <c r="A17" s="11" t="s">
        <v>83</v>
      </c>
      <c r="B17" s="11" t="s">
        <v>274</v>
      </c>
      <c r="C17" s="11" t="s">
        <v>284</v>
      </c>
      <c r="D17" s="11" t="s">
        <v>272</v>
      </c>
      <c r="E17" s="12" t="s">
        <v>302</v>
      </c>
    </row>
    <row r="18" customFormat="false" ht="15" hidden="false" customHeight="false" outlineLevel="0" collapsed="false">
      <c r="A18" s="11" t="s">
        <v>83</v>
      </c>
      <c r="B18" s="11" t="s">
        <v>294</v>
      </c>
      <c r="C18" s="11" t="s">
        <v>295</v>
      </c>
      <c r="D18" s="11" t="s">
        <v>272</v>
      </c>
      <c r="E18" s="11" t="s">
        <v>296</v>
      </c>
    </row>
    <row r="19" customFormat="false" ht="15" hidden="false" customHeight="false" outlineLevel="0" collapsed="false">
      <c r="A19" s="11" t="s">
        <v>83</v>
      </c>
      <c r="B19" s="11" t="s">
        <v>280</v>
      </c>
      <c r="C19" s="11" t="s">
        <v>303</v>
      </c>
      <c r="D19" s="11" t="s">
        <v>52</v>
      </c>
      <c r="E19" s="11" t="s">
        <v>282</v>
      </c>
    </row>
    <row r="20" customFormat="false" ht="15" hidden="false" customHeight="false" outlineLevel="0" collapsed="false">
      <c r="A20" s="11" t="s">
        <v>83</v>
      </c>
      <c r="B20" s="11" t="s">
        <v>283</v>
      </c>
      <c r="C20" s="11" t="s">
        <v>304</v>
      </c>
      <c r="D20" s="11" t="s">
        <v>52</v>
      </c>
      <c r="E20" s="11" t="s">
        <v>285</v>
      </c>
    </row>
    <row r="21" customFormat="false" ht="23.85" hidden="false" customHeight="false" outlineLevel="0" collapsed="false">
      <c r="A21" s="11" t="s">
        <v>97</v>
      </c>
      <c r="B21" s="11" t="s">
        <v>266</v>
      </c>
      <c r="C21" s="11" t="s">
        <v>305</v>
      </c>
      <c r="D21" s="11" t="s">
        <v>268</v>
      </c>
      <c r="E21" s="12" t="s">
        <v>306</v>
      </c>
    </row>
    <row r="22" customFormat="false" ht="15" hidden="false" customHeight="false" outlineLevel="0" collapsed="false">
      <c r="A22" s="11" t="s">
        <v>97</v>
      </c>
      <c r="B22" s="11" t="s">
        <v>270</v>
      </c>
      <c r="C22" s="11" t="s">
        <v>307</v>
      </c>
      <c r="D22" s="11" t="s">
        <v>272</v>
      </c>
      <c r="E22" s="11" t="s">
        <v>308</v>
      </c>
    </row>
    <row r="23" customFormat="false" ht="15" hidden="false" customHeight="false" outlineLevel="0" collapsed="false">
      <c r="A23" s="11" t="s">
        <v>97</v>
      </c>
      <c r="B23" s="11" t="s">
        <v>274</v>
      </c>
      <c r="C23" s="11" t="s">
        <v>309</v>
      </c>
      <c r="D23" s="11" t="s">
        <v>272</v>
      </c>
      <c r="E23" s="12" t="s">
        <v>310</v>
      </c>
    </row>
    <row r="24" customFormat="false" ht="15" hidden="false" customHeight="false" outlineLevel="0" collapsed="false">
      <c r="A24" s="11" t="s">
        <v>97</v>
      </c>
      <c r="B24" s="11" t="s">
        <v>294</v>
      </c>
      <c r="C24" s="11" t="s">
        <v>295</v>
      </c>
      <c r="D24" s="11" t="s">
        <v>272</v>
      </c>
      <c r="E24" s="11" t="s">
        <v>296</v>
      </c>
    </row>
    <row r="25" customFormat="false" ht="15" hidden="false" customHeight="false" outlineLevel="0" collapsed="false">
      <c r="A25" s="11" t="s">
        <v>97</v>
      </c>
      <c r="B25" s="11" t="s">
        <v>311</v>
      </c>
      <c r="C25" s="11" t="s">
        <v>312</v>
      </c>
      <c r="D25" s="11" t="s">
        <v>272</v>
      </c>
      <c r="E25" s="11" t="s">
        <v>313</v>
      </c>
    </row>
    <row r="26" customFormat="false" ht="15" hidden="false" customHeight="false" outlineLevel="0" collapsed="false">
      <c r="A26" s="11" t="s">
        <v>97</v>
      </c>
      <c r="B26" s="11" t="s">
        <v>280</v>
      </c>
      <c r="C26" s="11" t="s">
        <v>314</v>
      </c>
      <c r="D26" s="11" t="s">
        <v>52</v>
      </c>
      <c r="E26" s="11" t="s">
        <v>282</v>
      </c>
    </row>
    <row r="27" customFormat="false" ht="15" hidden="false" customHeight="false" outlineLevel="0" collapsed="false">
      <c r="A27" s="11" t="s">
        <v>97</v>
      </c>
      <c r="B27" s="11" t="s">
        <v>283</v>
      </c>
      <c r="C27" s="11" t="s">
        <v>284</v>
      </c>
      <c r="D27" s="11" t="s">
        <v>52</v>
      </c>
      <c r="E27" s="11" t="s">
        <v>285</v>
      </c>
    </row>
    <row r="28" customFormat="false" ht="23.85" hidden="false" customHeight="false" outlineLevel="0" collapsed="false">
      <c r="A28" s="11" t="s">
        <v>106</v>
      </c>
      <c r="B28" s="11" t="s">
        <v>266</v>
      </c>
      <c r="C28" s="11" t="s">
        <v>315</v>
      </c>
      <c r="D28" s="11" t="s">
        <v>316</v>
      </c>
      <c r="E28" s="12" t="s">
        <v>317</v>
      </c>
    </row>
    <row r="29" customFormat="false" ht="15" hidden="false" customHeight="false" outlineLevel="0" collapsed="false">
      <c r="A29" s="11" t="s">
        <v>106</v>
      </c>
      <c r="B29" s="11" t="s">
        <v>270</v>
      </c>
      <c r="C29" s="11" t="s">
        <v>318</v>
      </c>
      <c r="D29" s="11" t="s">
        <v>272</v>
      </c>
      <c r="E29" s="11" t="s">
        <v>319</v>
      </c>
    </row>
    <row r="30" customFormat="false" ht="15" hidden="false" customHeight="false" outlineLevel="0" collapsed="false">
      <c r="A30" s="11" t="s">
        <v>106</v>
      </c>
      <c r="B30" s="11" t="s">
        <v>274</v>
      </c>
      <c r="C30" s="11" t="s">
        <v>320</v>
      </c>
      <c r="D30" s="11" t="s">
        <v>272</v>
      </c>
      <c r="E30" s="12" t="s">
        <v>321</v>
      </c>
    </row>
    <row r="31" customFormat="false" ht="15" hidden="false" customHeight="false" outlineLevel="0" collapsed="false">
      <c r="A31" s="11" t="s">
        <v>106</v>
      </c>
      <c r="B31" s="11" t="s">
        <v>277</v>
      </c>
      <c r="C31" s="11" t="s">
        <v>322</v>
      </c>
      <c r="D31" s="11" t="s">
        <v>272</v>
      </c>
      <c r="E31" s="11" t="s">
        <v>323</v>
      </c>
    </row>
    <row r="32" customFormat="false" ht="15" hidden="false" customHeight="false" outlineLevel="0" collapsed="false">
      <c r="A32" s="11" t="s">
        <v>106</v>
      </c>
      <c r="B32" s="11" t="s">
        <v>280</v>
      </c>
      <c r="C32" s="11" t="s">
        <v>324</v>
      </c>
      <c r="D32" s="11" t="s">
        <v>52</v>
      </c>
      <c r="E32" s="11" t="s">
        <v>282</v>
      </c>
    </row>
    <row r="33" customFormat="false" ht="15" hidden="false" customHeight="false" outlineLevel="0" collapsed="false">
      <c r="A33" s="11" t="s">
        <v>106</v>
      </c>
      <c r="B33" s="11" t="s">
        <v>283</v>
      </c>
      <c r="C33" s="11" t="s">
        <v>325</v>
      </c>
      <c r="D33" s="11" t="s">
        <v>52</v>
      </c>
      <c r="E33" s="11" t="s">
        <v>285</v>
      </c>
    </row>
    <row r="34" customFormat="false" ht="23.85" hidden="false" customHeight="false" outlineLevel="0" collapsed="false">
      <c r="A34" s="11" t="s">
        <v>119</v>
      </c>
      <c r="B34" s="11" t="s">
        <v>266</v>
      </c>
      <c r="C34" s="11" t="s">
        <v>326</v>
      </c>
      <c r="D34" s="11" t="s">
        <v>316</v>
      </c>
      <c r="E34" s="12" t="s">
        <v>327</v>
      </c>
    </row>
    <row r="35" customFormat="false" ht="15" hidden="false" customHeight="false" outlineLevel="0" collapsed="false">
      <c r="A35" s="11" t="s">
        <v>119</v>
      </c>
      <c r="B35" s="11" t="s">
        <v>270</v>
      </c>
      <c r="C35" s="11" t="s">
        <v>328</v>
      </c>
      <c r="D35" s="11" t="s">
        <v>272</v>
      </c>
      <c r="E35" s="11" t="s">
        <v>329</v>
      </c>
    </row>
    <row r="36" customFormat="false" ht="15" hidden="false" customHeight="false" outlineLevel="0" collapsed="false">
      <c r="A36" s="11" t="s">
        <v>119</v>
      </c>
      <c r="B36" s="11" t="s">
        <v>274</v>
      </c>
      <c r="C36" s="11" t="s">
        <v>330</v>
      </c>
      <c r="D36" s="11" t="s">
        <v>272</v>
      </c>
      <c r="E36" s="12" t="s">
        <v>331</v>
      </c>
    </row>
    <row r="37" customFormat="false" ht="15" hidden="false" customHeight="false" outlineLevel="0" collapsed="false">
      <c r="A37" s="11" t="s">
        <v>119</v>
      </c>
      <c r="B37" s="11" t="s">
        <v>277</v>
      </c>
      <c r="C37" s="11" t="s">
        <v>332</v>
      </c>
      <c r="D37" s="11" t="s">
        <v>272</v>
      </c>
      <c r="E37" s="11" t="s">
        <v>293</v>
      </c>
    </row>
    <row r="38" customFormat="false" ht="15" hidden="false" customHeight="false" outlineLevel="0" collapsed="false">
      <c r="A38" s="11" t="s">
        <v>119</v>
      </c>
      <c r="B38" s="11" t="s">
        <v>294</v>
      </c>
      <c r="C38" s="11" t="s">
        <v>295</v>
      </c>
      <c r="D38" s="11" t="s">
        <v>272</v>
      </c>
      <c r="E38" s="11" t="s">
        <v>296</v>
      </c>
    </row>
    <row r="39" customFormat="false" ht="15" hidden="false" customHeight="false" outlineLevel="0" collapsed="false">
      <c r="A39" s="11" t="s">
        <v>119</v>
      </c>
      <c r="B39" s="11" t="s">
        <v>280</v>
      </c>
      <c r="C39" s="11" t="s">
        <v>333</v>
      </c>
      <c r="D39" s="11" t="s">
        <v>52</v>
      </c>
      <c r="E39" s="11" t="s">
        <v>282</v>
      </c>
    </row>
    <row r="40" customFormat="false" ht="15" hidden="false" customHeight="false" outlineLevel="0" collapsed="false">
      <c r="A40" s="11" t="s">
        <v>119</v>
      </c>
      <c r="B40" s="11" t="s">
        <v>283</v>
      </c>
      <c r="C40" s="11" t="s">
        <v>284</v>
      </c>
      <c r="D40" s="11" t="s">
        <v>52</v>
      </c>
      <c r="E40" s="11" t="s">
        <v>285</v>
      </c>
    </row>
    <row r="41" customFormat="false" ht="23.85" hidden="false" customHeight="false" outlineLevel="0" collapsed="false">
      <c r="A41" s="11" t="s">
        <v>126</v>
      </c>
      <c r="B41" s="11" t="s">
        <v>266</v>
      </c>
      <c r="C41" s="11" t="s">
        <v>334</v>
      </c>
      <c r="D41" s="11" t="s">
        <v>335</v>
      </c>
      <c r="E41" s="12" t="s">
        <v>317</v>
      </c>
    </row>
    <row r="42" customFormat="false" ht="15" hidden="false" customHeight="false" outlineLevel="0" collapsed="false">
      <c r="A42" s="11" t="s">
        <v>126</v>
      </c>
      <c r="B42" s="11" t="s">
        <v>270</v>
      </c>
      <c r="C42" s="11" t="s">
        <v>336</v>
      </c>
      <c r="D42" s="11" t="s">
        <v>272</v>
      </c>
      <c r="E42" s="11" t="s">
        <v>337</v>
      </c>
    </row>
    <row r="43" customFormat="false" ht="15" hidden="false" customHeight="false" outlineLevel="0" collapsed="false">
      <c r="A43" s="11" t="s">
        <v>126</v>
      </c>
      <c r="B43" s="11" t="s">
        <v>274</v>
      </c>
      <c r="C43" s="11" t="s">
        <v>284</v>
      </c>
      <c r="D43" s="11" t="s">
        <v>272</v>
      </c>
      <c r="E43" s="12" t="s">
        <v>302</v>
      </c>
    </row>
    <row r="44" customFormat="false" ht="15" hidden="false" customHeight="false" outlineLevel="0" collapsed="false">
      <c r="A44" s="11" t="s">
        <v>126</v>
      </c>
      <c r="B44" s="11" t="s">
        <v>280</v>
      </c>
      <c r="C44" s="11" t="s">
        <v>338</v>
      </c>
      <c r="D44" s="11" t="s">
        <v>52</v>
      </c>
      <c r="E44" s="11" t="s">
        <v>282</v>
      </c>
    </row>
    <row r="45" customFormat="false" ht="15" hidden="false" customHeight="false" outlineLevel="0" collapsed="false">
      <c r="A45" s="11" t="s">
        <v>126</v>
      </c>
      <c r="B45" s="11" t="s">
        <v>283</v>
      </c>
      <c r="C45" s="11" t="s">
        <v>284</v>
      </c>
      <c r="D45" s="11" t="s">
        <v>52</v>
      </c>
      <c r="E45" s="11" t="s">
        <v>285</v>
      </c>
    </row>
    <row r="46" customFormat="false" ht="23.85" hidden="false" customHeight="false" outlineLevel="0" collapsed="false">
      <c r="A46" s="11" t="s">
        <v>139</v>
      </c>
      <c r="B46" s="11" t="s">
        <v>266</v>
      </c>
      <c r="C46" s="11" t="s">
        <v>339</v>
      </c>
      <c r="D46" s="11" t="s">
        <v>335</v>
      </c>
      <c r="E46" s="12" t="s">
        <v>340</v>
      </c>
    </row>
    <row r="47" customFormat="false" ht="15" hidden="false" customHeight="false" outlineLevel="0" collapsed="false">
      <c r="A47" s="11" t="s">
        <v>139</v>
      </c>
      <c r="B47" s="11" t="s">
        <v>270</v>
      </c>
      <c r="C47" s="11" t="s">
        <v>341</v>
      </c>
      <c r="D47" s="11" t="s">
        <v>272</v>
      </c>
      <c r="E47" s="11" t="s">
        <v>273</v>
      </c>
    </row>
    <row r="48" customFormat="false" ht="15" hidden="false" customHeight="false" outlineLevel="0" collapsed="false">
      <c r="A48" s="11" t="s">
        <v>139</v>
      </c>
      <c r="B48" s="11" t="s">
        <v>274</v>
      </c>
      <c r="C48" s="11" t="s">
        <v>275</v>
      </c>
      <c r="D48" s="11" t="s">
        <v>272</v>
      </c>
      <c r="E48" s="12" t="s">
        <v>276</v>
      </c>
    </row>
    <row r="49" customFormat="false" ht="15" hidden="false" customHeight="false" outlineLevel="0" collapsed="false">
      <c r="A49" s="11" t="s">
        <v>139</v>
      </c>
      <c r="B49" s="11" t="s">
        <v>277</v>
      </c>
      <c r="C49" s="11" t="s">
        <v>342</v>
      </c>
      <c r="D49" s="11" t="s">
        <v>272</v>
      </c>
      <c r="E49" s="11" t="s">
        <v>279</v>
      </c>
    </row>
    <row r="50" customFormat="false" ht="15" hidden="false" customHeight="false" outlineLevel="0" collapsed="false">
      <c r="A50" s="11" t="s">
        <v>139</v>
      </c>
      <c r="B50" s="11" t="s">
        <v>294</v>
      </c>
      <c r="C50" s="11" t="s">
        <v>295</v>
      </c>
      <c r="D50" s="11" t="s">
        <v>272</v>
      </c>
      <c r="E50" s="11" t="s">
        <v>296</v>
      </c>
    </row>
    <row r="51" customFormat="false" ht="15" hidden="false" customHeight="false" outlineLevel="0" collapsed="false">
      <c r="A51" s="11" t="s">
        <v>139</v>
      </c>
      <c r="B51" s="11" t="s">
        <v>280</v>
      </c>
      <c r="C51" s="11" t="s">
        <v>343</v>
      </c>
      <c r="D51" s="11" t="s">
        <v>52</v>
      </c>
      <c r="E51" s="11" t="s">
        <v>282</v>
      </c>
    </row>
    <row r="52" customFormat="false" ht="15" hidden="false" customHeight="false" outlineLevel="0" collapsed="false">
      <c r="A52" s="11" t="s">
        <v>139</v>
      </c>
      <c r="B52" s="11" t="s">
        <v>283</v>
      </c>
      <c r="C52" s="11" t="s">
        <v>284</v>
      </c>
      <c r="D52" s="11" t="s">
        <v>52</v>
      </c>
      <c r="E52" s="11" t="s">
        <v>285</v>
      </c>
    </row>
    <row r="53" customFormat="false" ht="23.85" hidden="false" customHeight="false" outlineLevel="0" collapsed="false">
      <c r="A53" s="11" t="s">
        <v>146</v>
      </c>
      <c r="B53" s="11" t="s">
        <v>266</v>
      </c>
      <c r="C53" s="11" t="s">
        <v>344</v>
      </c>
      <c r="D53" s="11" t="s">
        <v>335</v>
      </c>
      <c r="E53" s="12" t="s">
        <v>345</v>
      </c>
    </row>
    <row r="54" customFormat="false" ht="15" hidden="false" customHeight="false" outlineLevel="0" collapsed="false">
      <c r="A54" s="11" t="s">
        <v>146</v>
      </c>
      <c r="B54" s="11" t="s">
        <v>270</v>
      </c>
      <c r="C54" s="11" t="s">
        <v>346</v>
      </c>
      <c r="D54" s="11" t="s">
        <v>272</v>
      </c>
      <c r="E54" s="11" t="s">
        <v>347</v>
      </c>
    </row>
    <row r="55" customFormat="false" ht="15" hidden="false" customHeight="false" outlineLevel="0" collapsed="false">
      <c r="A55" s="11" t="s">
        <v>146</v>
      </c>
      <c r="B55" s="11" t="s">
        <v>274</v>
      </c>
      <c r="C55" s="11" t="s">
        <v>320</v>
      </c>
      <c r="D55" s="11" t="s">
        <v>272</v>
      </c>
      <c r="E55" s="12" t="s">
        <v>321</v>
      </c>
    </row>
    <row r="56" customFormat="false" ht="15" hidden="false" customHeight="false" outlineLevel="0" collapsed="false">
      <c r="A56" s="11" t="s">
        <v>146</v>
      </c>
      <c r="B56" s="11" t="s">
        <v>277</v>
      </c>
      <c r="C56" s="11" t="s">
        <v>348</v>
      </c>
      <c r="D56" s="11" t="s">
        <v>272</v>
      </c>
      <c r="E56" s="11" t="s">
        <v>279</v>
      </c>
    </row>
    <row r="57" customFormat="false" ht="15" hidden="false" customHeight="false" outlineLevel="0" collapsed="false">
      <c r="A57" s="11" t="s">
        <v>146</v>
      </c>
      <c r="B57" s="11" t="s">
        <v>294</v>
      </c>
      <c r="C57" s="11" t="s">
        <v>349</v>
      </c>
      <c r="D57" s="11" t="s">
        <v>272</v>
      </c>
      <c r="E57" s="11" t="s">
        <v>296</v>
      </c>
    </row>
    <row r="58" customFormat="false" ht="15" hidden="false" customHeight="false" outlineLevel="0" collapsed="false">
      <c r="A58" s="11" t="s">
        <v>146</v>
      </c>
      <c r="B58" s="11" t="s">
        <v>280</v>
      </c>
      <c r="C58" s="11" t="s">
        <v>350</v>
      </c>
      <c r="D58" s="11" t="s">
        <v>52</v>
      </c>
      <c r="E58" s="11" t="s">
        <v>282</v>
      </c>
    </row>
    <row r="59" customFormat="false" ht="15" hidden="false" customHeight="false" outlineLevel="0" collapsed="false">
      <c r="A59" s="11" t="s">
        <v>146</v>
      </c>
      <c r="B59" s="11" t="s">
        <v>283</v>
      </c>
      <c r="C59" s="11" t="s">
        <v>284</v>
      </c>
      <c r="D59" s="11" t="s">
        <v>52</v>
      </c>
      <c r="E59" s="11" t="s">
        <v>285</v>
      </c>
    </row>
    <row r="60" customFormat="false" ht="23.85" hidden="false" customHeight="false" outlineLevel="0" collapsed="false">
      <c r="A60" s="11" t="s">
        <v>158</v>
      </c>
      <c r="B60" s="11" t="s">
        <v>266</v>
      </c>
      <c r="C60" s="11" t="s">
        <v>351</v>
      </c>
      <c r="D60" s="11" t="s">
        <v>335</v>
      </c>
      <c r="E60" s="12" t="s">
        <v>352</v>
      </c>
    </row>
    <row r="61" customFormat="false" ht="15" hidden="false" customHeight="false" outlineLevel="0" collapsed="false">
      <c r="A61" s="11" t="s">
        <v>158</v>
      </c>
      <c r="B61" s="11" t="s">
        <v>270</v>
      </c>
      <c r="C61" s="11" t="s">
        <v>353</v>
      </c>
      <c r="D61" s="11" t="s">
        <v>272</v>
      </c>
      <c r="E61" s="11" t="s">
        <v>354</v>
      </c>
    </row>
    <row r="62" customFormat="false" ht="15" hidden="false" customHeight="false" outlineLevel="0" collapsed="false">
      <c r="A62" s="11" t="s">
        <v>158</v>
      </c>
      <c r="B62" s="11" t="s">
        <v>274</v>
      </c>
      <c r="C62" s="11" t="s">
        <v>330</v>
      </c>
      <c r="D62" s="11" t="s">
        <v>272</v>
      </c>
      <c r="E62" s="12" t="s">
        <v>331</v>
      </c>
    </row>
    <row r="63" customFormat="false" ht="15" hidden="false" customHeight="false" outlineLevel="0" collapsed="false">
      <c r="A63" s="11" t="s">
        <v>158</v>
      </c>
      <c r="B63" s="11" t="s">
        <v>277</v>
      </c>
      <c r="C63" s="11" t="s">
        <v>355</v>
      </c>
      <c r="D63" s="11" t="s">
        <v>272</v>
      </c>
      <c r="E63" s="11" t="s">
        <v>293</v>
      </c>
    </row>
    <row r="64" customFormat="false" ht="15" hidden="false" customHeight="false" outlineLevel="0" collapsed="false">
      <c r="A64" s="11" t="s">
        <v>158</v>
      </c>
      <c r="B64" s="11" t="s">
        <v>294</v>
      </c>
      <c r="C64" s="11" t="s">
        <v>349</v>
      </c>
      <c r="D64" s="11" t="s">
        <v>272</v>
      </c>
      <c r="E64" s="11" t="s">
        <v>296</v>
      </c>
    </row>
    <row r="65" customFormat="false" ht="15" hidden="false" customHeight="false" outlineLevel="0" collapsed="false">
      <c r="A65" s="11" t="s">
        <v>158</v>
      </c>
      <c r="B65" s="11" t="s">
        <v>311</v>
      </c>
      <c r="C65" s="11" t="s">
        <v>356</v>
      </c>
      <c r="D65" s="11" t="s">
        <v>272</v>
      </c>
      <c r="E65" s="11" t="s">
        <v>313</v>
      </c>
    </row>
    <row r="66" customFormat="false" ht="15" hidden="false" customHeight="false" outlineLevel="0" collapsed="false">
      <c r="A66" s="11" t="s">
        <v>158</v>
      </c>
      <c r="B66" s="11" t="s">
        <v>280</v>
      </c>
      <c r="C66" s="11" t="s">
        <v>357</v>
      </c>
      <c r="D66" s="11" t="s">
        <v>52</v>
      </c>
      <c r="E66" s="11" t="s">
        <v>282</v>
      </c>
    </row>
    <row r="67" customFormat="false" ht="15" hidden="false" customHeight="false" outlineLevel="0" collapsed="false">
      <c r="A67" s="11" t="s">
        <v>158</v>
      </c>
      <c r="B67" s="11" t="s">
        <v>283</v>
      </c>
      <c r="C67" s="11" t="s">
        <v>284</v>
      </c>
      <c r="D67" s="11" t="s">
        <v>52</v>
      </c>
      <c r="E67" s="11" t="s">
        <v>285</v>
      </c>
    </row>
    <row r="68" customFormat="false" ht="23.85" hidden="false" customHeight="false" outlineLevel="0" collapsed="false">
      <c r="A68" s="11" t="s">
        <v>167</v>
      </c>
      <c r="B68" s="11" t="s">
        <v>266</v>
      </c>
      <c r="C68" s="11" t="s">
        <v>358</v>
      </c>
      <c r="D68" s="11" t="s">
        <v>359</v>
      </c>
      <c r="E68" s="12" t="s">
        <v>360</v>
      </c>
    </row>
    <row r="69" customFormat="false" ht="15" hidden="false" customHeight="false" outlineLevel="0" collapsed="false">
      <c r="A69" s="11" t="s">
        <v>167</v>
      </c>
      <c r="B69" s="11" t="s">
        <v>270</v>
      </c>
      <c r="C69" s="11" t="s">
        <v>361</v>
      </c>
      <c r="D69" s="11" t="s">
        <v>272</v>
      </c>
      <c r="E69" s="11" t="s">
        <v>362</v>
      </c>
    </row>
    <row r="70" customFormat="false" ht="15" hidden="false" customHeight="false" outlineLevel="0" collapsed="false">
      <c r="A70" s="11" t="s">
        <v>167</v>
      </c>
      <c r="B70" s="11" t="s">
        <v>274</v>
      </c>
      <c r="C70" s="11" t="s">
        <v>284</v>
      </c>
      <c r="D70" s="11" t="s">
        <v>272</v>
      </c>
      <c r="E70" s="12" t="s">
        <v>302</v>
      </c>
    </row>
    <row r="71" customFormat="false" ht="15" hidden="false" customHeight="false" outlineLevel="0" collapsed="false">
      <c r="A71" s="11" t="s">
        <v>167</v>
      </c>
      <c r="B71" s="11" t="s">
        <v>294</v>
      </c>
      <c r="C71" s="11" t="s">
        <v>349</v>
      </c>
      <c r="D71" s="11" t="s">
        <v>272</v>
      </c>
      <c r="E71" s="11" t="s">
        <v>296</v>
      </c>
    </row>
    <row r="72" customFormat="false" ht="15" hidden="false" customHeight="false" outlineLevel="0" collapsed="false">
      <c r="A72" s="11" t="s">
        <v>167</v>
      </c>
      <c r="B72" s="11" t="s">
        <v>280</v>
      </c>
      <c r="C72" s="11" t="s">
        <v>363</v>
      </c>
      <c r="D72" s="11" t="s">
        <v>52</v>
      </c>
      <c r="E72" s="11" t="s">
        <v>282</v>
      </c>
    </row>
    <row r="73" customFormat="false" ht="15" hidden="false" customHeight="false" outlineLevel="0" collapsed="false">
      <c r="A73" s="11" t="s">
        <v>167</v>
      </c>
      <c r="B73" s="11" t="s">
        <v>283</v>
      </c>
      <c r="C73" s="11" t="s">
        <v>364</v>
      </c>
      <c r="D73" s="11" t="s">
        <v>52</v>
      </c>
      <c r="E73" s="11" t="s">
        <v>285</v>
      </c>
    </row>
    <row r="74" customFormat="false" ht="15" hidden="false" customHeight="false" outlineLevel="0" collapsed="false">
      <c r="A74" s="11" t="s">
        <v>179</v>
      </c>
      <c r="B74" s="11" t="s">
        <v>311</v>
      </c>
      <c r="C74" s="11" t="s">
        <v>365</v>
      </c>
      <c r="D74" s="11" t="s">
        <v>272</v>
      </c>
      <c r="E74" s="11" t="s">
        <v>313</v>
      </c>
    </row>
    <row r="75" customFormat="false" ht="15" hidden="false" customHeight="false" outlineLevel="0" collapsed="false">
      <c r="A75" s="11" t="s">
        <v>179</v>
      </c>
      <c r="B75" s="11" t="s">
        <v>280</v>
      </c>
      <c r="C75" s="11" t="s">
        <v>366</v>
      </c>
      <c r="D75" s="11" t="s">
        <v>52</v>
      </c>
      <c r="E75" s="11" t="s">
        <v>282</v>
      </c>
    </row>
    <row r="76" customFormat="false" ht="15" hidden="false" customHeight="false" outlineLevel="0" collapsed="false">
      <c r="A76" s="11" t="s">
        <v>179</v>
      </c>
      <c r="B76" s="11" t="s">
        <v>283</v>
      </c>
      <c r="C76" s="11" t="s">
        <v>284</v>
      </c>
      <c r="D76" s="11" t="s">
        <v>52</v>
      </c>
      <c r="E76" s="11" t="s">
        <v>285</v>
      </c>
    </row>
    <row r="77" customFormat="false" ht="23.85" hidden="false" customHeight="false" outlineLevel="0" collapsed="false">
      <c r="A77" s="11" t="s">
        <v>187</v>
      </c>
      <c r="B77" s="11" t="s">
        <v>266</v>
      </c>
      <c r="C77" s="11" t="s">
        <v>367</v>
      </c>
      <c r="D77" s="11" t="s">
        <v>335</v>
      </c>
      <c r="E77" s="12" t="s">
        <v>340</v>
      </c>
    </row>
    <row r="78" customFormat="false" ht="15" hidden="false" customHeight="false" outlineLevel="0" collapsed="false">
      <c r="A78" s="11" t="s">
        <v>187</v>
      </c>
      <c r="B78" s="11" t="s">
        <v>270</v>
      </c>
      <c r="C78" s="11" t="s">
        <v>368</v>
      </c>
      <c r="D78" s="11" t="s">
        <v>272</v>
      </c>
      <c r="E78" s="11" t="s">
        <v>369</v>
      </c>
    </row>
    <row r="79" customFormat="false" ht="15" hidden="false" customHeight="false" outlineLevel="0" collapsed="false">
      <c r="A79" s="11" t="s">
        <v>187</v>
      </c>
      <c r="B79" s="11" t="s">
        <v>274</v>
      </c>
      <c r="C79" s="11" t="s">
        <v>320</v>
      </c>
      <c r="D79" s="11" t="s">
        <v>272</v>
      </c>
      <c r="E79" s="12" t="s">
        <v>321</v>
      </c>
    </row>
    <row r="80" customFormat="false" ht="15" hidden="false" customHeight="false" outlineLevel="0" collapsed="false">
      <c r="A80" s="11" t="s">
        <v>187</v>
      </c>
      <c r="B80" s="11" t="s">
        <v>277</v>
      </c>
      <c r="C80" s="11" t="s">
        <v>370</v>
      </c>
      <c r="D80" s="11" t="s">
        <v>272</v>
      </c>
      <c r="E80" s="11" t="s">
        <v>279</v>
      </c>
    </row>
    <row r="81" customFormat="false" ht="15" hidden="false" customHeight="false" outlineLevel="0" collapsed="false">
      <c r="A81" s="11" t="s">
        <v>187</v>
      </c>
      <c r="B81" s="11" t="s">
        <v>280</v>
      </c>
      <c r="C81" s="11" t="s">
        <v>371</v>
      </c>
      <c r="D81" s="11" t="s">
        <v>52</v>
      </c>
      <c r="E81" s="11" t="s">
        <v>282</v>
      </c>
    </row>
    <row r="82" customFormat="false" ht="15" hidden="false" customHeight="false" outlineLevel="0" collapsed="false">
      <c r="A82" s="11" t="s">
        <v>187</v>
      </c>
      <c r="B82" s="11" t="s">
        <v>283</v>
      </c>
      <c r="C82" s="11" t="s">
        <v>304</v>
      </c>
      <c r="D82" s="11" t="s">
        <v>52</v>
      </c>
      <c r="E82" s="11" t="s">
        <v>285</v>
      </c>
    </row>
    <row r="83" customFormat="false" ht="15" hidden="false" customHeight="false" outlineLevel="0" collapsed="false">
      <c r="A83" s="11" t="s">
        <v>198</v>
      </c>
      <c r="B83" s="11" t="s">
        <v>266</v>
      </c>
      <c r="C83" s="11" t="s">
        <v>372</v>
      </c>
      <c r="D83" s="11" t="s">
        <v>268</v>
      </c>
      <c r="E83" s="12" t="s">
        <v>373</v>
      </c>
    </row>
    <row r="84" customFormat="false" ht="15" hidden="false" customHeight="false" outlineLevel="0" collapsed="false">
      <c r="A84" s="11" t="s">
        <v>198</v>
      </c>
      <c r="B84" s="11" t="s">
        <v>270</v>
      </c>
      <c r="C84" s="11" t="s">
        <v>374</v>
      </c>
      <c r="D84" s="11" t="s">
        <v>272</v>
      </c>
      <c r="E84" s="11" t="s">
        <v>337</v>
      </c>
    </row>
    <row r="85" customFormat="false" ht="15" hidden="false" customHeight="false" outlineLevel="0" collapsed="false">
      <c r="A85" s="11" t="s">
        <v>198</v>
      </c>
      <c r="B85" s="11" t="s">
        <v>274</v>
      </c>
      <c r="C85" s="11" t="s">
        <v>375</v>
      </c>
      <c r="D85" s="11" t="s">
        <v>272</v>
      </c>
      <c r="E85" s="12" t="s">
        <v>376</v>
      </c>
    </row>
    <row r="86" customFormat="false" ht="15" hidden="false" customHeight="false" outlineLevel="0" collapsed="false">
      <c r="A86" s="11" t="s">
        <v>198</v>
      </c>
      <c r="B86" s="11" t="s">
        <v>277</v>
      </c>
      <c r="C86" s="11" t="s">
        <v>377</v>
      </c>
      <c r="D86" s="11" t="s">
        <v>272</v>
      </c>
      <c r="E86" s="11" t="s">
        <v>323</v>
      </c>
    </row>
    <row r="87" customFormat="false" ht="15" hidden="false" customHeight="false" outlineLevel="0" collapsed="false">
      <c r="A87" s="11" t="s">
        <v>198</v>
      </c>
      <c r="B87" s="11" t="s">
        <v>280</v>
      </c>
      <c r="C87" s="11" t="s">
        <v>378</v>
      </c>
      <c r="D87" s="11" t="s">
        <v>52</v>
      </c>
      <c r="E87" s="11" t="s">
        <v>282</v>
      </c>
    </row>
    <row r="88" customFormat="false" ht="15" hidden="false" customHeight="false" outlineLevel="0" collapsed="false">
      <c r="A88" s="11" t="s">
        <v>198</v>
      </c>
      <c r="B88" s="11" t="s">
        <v>283</v>
      </c>
      <c r="C88" s="11" t="s">
        <v>284</v>
      </c>
      <c r="D88" s="11" t="s">
        <v>52</v>
      </c>
      <c r="E88" s="11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4" t="s">
        <v>379</v>
      </c>
      <c r="B1" s="4" t="s">
        <v>380</v>
      </c>
      <c r="C1" s="4" t="s">
        <v>264</v>
      </c>
      <c r="D1" s="4" t="s">
        <v>381</v>
      </c>
      <c r="E1" s="4" t="s">
        <v>382</v>
      </c>
      <c r="F1" s="4" t="s">
        <v>265</v>
      </c>
      <c r="G1" s="4" t="s">
        <v>383</v>
      </c>
      <c r="H1" s="4" t="s">
        <v>230</v>
      </c>
    </row>
    <row r="2" customFormat="false" ht="23.85" hidden="false" customHeight="false" outlineLevel="0" collapsed="false">
      <c r="A2" s="11" t="s">
        <v>57</v>
      </c>
      <c r="B2" s="12" t="s">
        <v>384</v>
      </c>
      <c r="C2" s="5" t="n">
        <v>1926</v>
      </c>
      <c r="D2" s="11" t="s">
        <v>385</v>
      </c>
      <c r="E2" s="11" t="n">
        <v>2025</v>
      </c>
      <c r="F2" s="12" t="s">
        <v>386</v>
      </c>
      <c r="G2" s="12" t="s">
        <v>387</v>
      </c>
      <c r="H2" s="11"/>
    </row>
    <row r="3" customFormat="false" ht="23.85" hidden="false" customHeight="false" outlineLevel="0" collapsed="false">
      <c r="A3" s="11" t="s">
        <v>57</v>
      </c>
      <c r="B3" s="11" t="s">
        <v>388</v>
      </c>
      <c r="C3" s="5" t="n">
        <v>5500</v>
      </c>
      <c r="D3" s="11" t="s">
        <v>389</v>
      </c>
      <c r="E3" s="11" t="n">
        <v>2025</v>
      </c>
      <c r="F3" s="12" t="s">
        <v>386</v>
      </c>
      <c r="G3" s="12" t="s">
        <v>387</v>
      </c>
      <c r="H3" s="11"/>
    </row>
    <row r="4" customFormat="false" ht="23.85" hidden="false" customHeight="false" outlineLevel="0" collapsed="false">
      <c r="A4" s="11" t="s">
        <v>57</v>
      </c>
      <c r="B4" s="12" t="s">
        <v>390</v>
      </c>
      <c r="C4" s="5" t="n">
        <v>6200</v>
      </c>
      <c r="D4" s="11" t="s">
        <v>389</v>
      </c>
      <c r="E4" s="11" t="n">
        <v>2025</v>
      </c>
      <c r="F4" s="12" t="s">
        <v>386</v>
      </c>
      <c r="G4" s="12" t="s">
        <v>387</v>
      </c>
      <c r="H4" s="11"/>
    </row>
    <row r="5" customFormat="false" ht="23.85" hidden="false" customHeight="false" outlineLevel="0" collapsed="false">
      <c r="A5" s="11" t="s">
        <v>57</v>
      </c>
      <c r="B5" s="11" t="s">
        <v>391</v>
      </c>
      <c r="C5" s="5" t="n">
        <v>10500</v>
      </c>
      <c r="D5" s="11" t="s">
        <v>389</v>
      </c>
      <c r="E5" s="11" t="n">
        <v>2025</v>
      </c>
      <c r="F5" s="12" t="s">
        <v>386</v>
      </c>
      <c r="G5" s="12" t="s">
        <v>387</v>
      </c>
      <c r="H5" s="11"/>
    </row>
    <row r="6" customFormat="false" ht="23.85" hidden="false" customHeight="false" outlineLevel="0" collapsed="false">
      <c r="A6" s="11" t="s">
        <v>57</v>
      </c>
      <c r="B6" s="11" t="s">
        <v>392</v>
      </c>
      <c r="C6" s="5" t="n">
        <v>6500</v>
      </c>
      <c r="D6" s="11" t="s">
        <v>389</v>
      </c>
      <c r="E6" s="11" t="n">
        <v>2025</v>
      </c>
      <c r="F6" s="12" t="s">
        <v>386</v>
      </c>
      <c r="G6" s="12" t="s">
        <v>387</v>
      </c>
      <c r="H6" s="11"/>
    </row>
    <row r="7" customFormat="false" ht="23.85" hidden="false" customHeight="false" outlineLevel="0" collapsed="false">
      <c r="A7" s="11" t="s">
        <v>57</v>
      </c>
      <c r="B7" s="11" t="s">
        <v>393</v>
      </c>
      <c r="C7" s="5" t="n">
        <v>5</v>
      </c>
      <c r="D7" s="11" t="s">
        <v>394</v>
      </c>
      <c r="E7" s="11" t="n">
        <v>2025</v>
      </c>
      <c r="F7" s="12" t="s">
        <v>386</v>
      </c>
      <c r="G7" s="12" t="s">
        <v>387</v>
      </c>
      <c r="H7" s="11" t="s">
        <v>395</v>
      </c>
    </row>
    <row r="8" customFormat="false" ht="23.85" hidden="false" customHeight="false" outlineLevel="0" collapsed="false">
      <c r="A8" s="11" t="s">
        <v>396</v>
      </c>
      <c r="B8" s="12" t="s">
        <v>384</v>
      </c>
      <c r="C8" s="5" t="n">
        <v>1872</v>
      </c>
      <c r="D8" s="11" t="s">
        <v>385</v>
      </c>
      <c r="E8" s="11" t="n">
        <v>2025</v>
      </c>
      <c r="F8" s="12" t="s">
        <v>386</v>
      </c>
      <c r="G8" s="12" t="s">
        <v>387</v>
      </c>
      <c r="H8" s="11"/>
    </row>
    <row r="9" customFormat="false" ht="23.85" hidden="false" customHeight="false" outlineLevel="0" collapsed="false">
      <c r="A9" s="11" t="s">
        <v>88</v>
      </c>
      <c r="B9" s="11" t="s">
        <v>397</v>
      </c>
      <c r="C9" s="5" t="n">
        <v>3112</v>
      </c>
      <c r="D9" s="11" t="s">
        <v>385</v>
      </c>
      <c r="E9" s="11" t="n">
        <v>2025</v>
      </c>
      <c r="F9" s="12" t="s">
        <v>398</v>
      </c>
      <c r="G9" s="12" t="s">
        <v>399</v>
      </c>
      <c r="H9" s="11"/>
    </row>
    <row r="10" customFormat="false" ht="23.85" hidden="false" customHeight="false" outlineLevel="0" collapsed="false">
      <c r="A10" s="11" t="s">
        <v>88</v>
      </c>
      <c r="B10" s="11" t="s">
        <v>388</v>
      </c>
      <c r="C10" s="5" t="n">
        <v>8500</v>
      </c>
      <c r="D10" s="11" t="s">
        <v>400</v>
      </c>
      <c r="E10" s="11" t="n">
        <v>2025</v>
      </c>
      <c r="F10" s="12" t="s">
        <v>401</v>
      </c>
      <c r="G10" s="12" t="s">
        <v>402</v>
      </c>
      <c r="H10" s="11"/>
    </row>
    <row r="11" customFormat="false" ht="23.85" hidden="false" customHeight="false" outlineLevel="0" collapsed="false">
      <c r="A11" s="11" t="s">
        <v>88</v>
      </c>
      <c r="B11" s="12" t="s">
        <v>390</v>
      </c>
      <c r="C11" s="5" t="n">
        <v>9000</v>
      </c>
      <c r="D11" s="11" t="s">
        <v>400</v>
      </c>
      <c r="E11" s="11" t="n">
        <v>2025</v>
      </c>
      <c r="F11" s="12" t="s">
        <v>401</v>
      </c>
      <c r="G11" s="12" t="s">
        <v>402</v>
      </c>
      <c r="H11" s="11"/>
    </row>
    <row r="12" customFormat="false" ht="23.85" hidden="false" customHeight="false" outlineLevel="0" collapsed="false">
      <c r="A12" s="11" t="s">
        <v>88</v>
      </c>
      <c r="B12" s="11" t="s">
        <v>391</v>
      </c>
      <c r="C12" s="5" t="n">
        <v>22500</v>
      </c>
      <c r="D12" s="11" t="s">
        <v>400</v>
      </c>
      <c r="E12" s="11" t="n">
        <v>2025</v>
      </c>
      <c r="F12" s="12" t="s">
        <v>401</v>
      </c>
      <c r="G12" s="12" t="s">
        <v>402</v>
      </c>
      <c r="H12" s="11"/>
    </row>
    <row r="13" customFormat="false" ht="23.85" hidden="false" customHeight="false" outlineLevel="0" collapsed="false">
      <c r="A13" s="11" t="s">
        <v>131</v>
      </c>
      <c r="B13" s="11" t="s">
        <v>397</v>
      </c>
      <c r="C13" s="5" t="n">
        <v>3104</v>
      </c>
      <c r="D13" s="11" t="s">
        <v>385</v>
      </c>
      <c r="E13" s="11" t="n">
        <v>2025</v>
      </c>
      <c r="F13" s="12" t="s">
        <v>403</v>
      </c>
      <c r="G13" s="12" t="s">
        <v>404</v>
      </c>
      <c r="H13" s="11"/>
    </row>
    <row r="14" customFormat="false" ht="23.85" hidden="false" customHeight="false" outlineLevel="0" collapsed="false">
      <c r="A14" s="11" t="s">
        <v>152</v>
      </c>
      <c r="B14" s="11" t="s">
        <v>397</v>
      </c>
      <c r="C14" s="5" t="n">
        <v>1168</v>
      </c>
      <c r="D14" s="11" t="s">
        <v>385</v>
      </c>
      <c r="E14" s="11" t="n">
        <v>2025</v>
      </c>
      <c r="F14" s="12" t="s">
        <v>403</v>
      </c>
      <c r="G14" s="12" t="s">
        <v>404</v>
      </c>
      <c r="H14" s="11"/>
    </row>
    <row r="15" customFormat="false" ht="23.85" hidden="false" customHeight="false" outlineLevel="0" collapsed="false">
      <c r="A15" s="11" t="s">
        <v>405</v>
      </c>
      <c r="B15" s="11" t="s">
        <v>397</v>
      </c>
      <c r="C15" s="5" t="n">
        <v>1147</v>
      </c>
      <c r="D15" s="11" t="s">
        <v>385</v>
      </c>
      <c r="E15" s="11" t="n">
        <v>2025</v>
      </c>
      <c r="F15" s="12" t="s">
        <v>403</v>
      </c>
      <c r="G15" s="12" t="s">
        <v>404</v>
      </c>
      <c r="H15" s="11"/>
    </row>
    <row r="16" customFormat="false" ht="23.85" hidden="false" customHeight="false" outlineLevel="0" collapsed="false">
      <c r="A16" s="11" t="s">
        <v>192</v>
      </c>
      <c r="B16" s="11" t="s">
        <v>397</v>
      </c>
      <c r="C16" s="5" t="n">
        <v>723</v>
      </c>
      <c r="D16" s="11" t="s">
        <v>385</v>
      </c>
      <c r="E16" s="11" t="n">
        <v>2025</v>
      </c>
      <c r="F16" s="12" t="s">
        <v>403</v>
      </c>
      <c r="G16" s="12" t="s">
        <v>404</v>
      </c>
      <c r="H16" s="11"/>
    </row>
    <row r="17" customFormat="false" ht="23.85" hidden="false" customHeight="false" outlineLevel="0" collapsed="false">
      <c r="A17" s="11" t="s">
        <v>406</v>
      </c>
      <c r="B17" s="11" t="s">
        <v>397</v>
      </c>
      <c r="C17" s="5" t="n">
        <v>940</v>
      </c>
      <c r="D17" s="11" t="s">
        <v>385</v>
      </c>
      <c r="E17" s="11" t="n">
        <v>2025</v>
      </c>
      <c r="F17" s="12" t="s">
        <v>407</v>
      </c>
      <c r="G17" s="12" t="s">
        <v>408</v>
      </c>
      <c r="H17" s="12" t="s">
        <v>409</v>
      </c>
    </row>
    <row r="18" customFormat="false" ht="23.85" hidden="false" customHeight="false" outlineLevel="0" collapsed="false">
      <c r="A18" s="11" t="s">
        <v>173</v>
      </c>
      <c r="B18" s="11" t="s">
        <v>397</v>
      </c>
      <c r="C18" s="5" t="n">
        <v>910</v>
      </c>
      <c r="D18" s="11" t="s">
        <v>385</v>
      </c>
      <c r="E18" s="11" t="n">
        <v>2025</v>
      </c>
      <c r="F18" s="12" t="s">
        <v>410</v>
      </c>
      <c r="G18" s="12" t="s">
        <v>411</v>
      </c>
      <c r="H18" s="12" t="s">
        <v>412</v>
      </c>
    </row>
    <row r="19" customFormat="false" ht="23.85" hidden="false" customHeight="false" outlineLevel="0" collapsed="false">
      <c r="A19" s="11" t="s">
        <v>413</v>
      </c>
      <c r="B19" s="12" t="s">
        <v>414</v>
      </c>
      <c r="C19" s="5" t="n">
        <v>2206</v>
      </c>
      <c r="D19" s="11" t="s">
        <v>385</v>
      </c>
      <c r="E19" s="11" t="n">
        <v>2025</v>
      </c>
      <c r="F19" s="12" t="s">
        <v>410</v>
      </c>
      <c r="G19" s="12" t="s">
        <v>411</v>
      </c>
      <c r="H19" s="12" t="s">
        <v>412</v>
      </c>
    </row>
    <row r="20" customFormat="false" ht="23.85" hidden="false" customHeight="false" outlineLevel="0" collapsed="false">
      <c r="A20" s="11" t="s">
        <v>415</v>
      </c>
      <c r="B20" s="11" t="s">
        <v>416</v>
      </c>
      <c r="C20" s="5" t="n">
        <v>3.8</v>
      </c>
      <c r="D20" s="11" t="s">
        <v>394</v>
      </c>
      <c r="E20" s="11" t="n">
        <v>2025</v>
      </c>
      <c r="F20" s="12" t="s">
        <v>417</v>
      </c>
      <c r="G20" s="12" t="s">
        <v>418</v>
      </c>
      <c r="H20" s="11" t="s">
        <v>395</v>
      </c>
    </row>
    <row r="21" customFormat="false" ht="23.85" hidden="false" customHeight="false" outlineLevel="0" collapsed="false">
      <c r="A21" s="11" t="s">
        <v>57</v>
      </c>
      <c r="B21" s="12" t="s">
        <v>419</v>
      </c>
      <c r="C21" s="5" t="s">
        <v>420</v>
      </c>
      <c r="D21" s="11" t="s">
        <v>421</v>
      </c>
      <c r="E21" s="11" t="n">
        <v>2025</v>
      </c>
      <c r="F21" s="12" t="s">
        <v>422</v>
      </c>
      <c r="G21" s="12" t="s">
        <v>423</v>
      </c>
      <c r="H21" s="11" t="s">
        <v>424</v>
      </c>
    </row>
    <row r="22" customFormat="false" ht="23.85" hidden="false" customHeight="false" outlineLevel="0" collapsed="false">
      <c r="A22" s="11" t="s">
        <v>57</v>
      </c>
      <c r="B22" s="11" t="s">
        <v>425</v>
      </c>
      <c r="C22" s="5" t="s">
        <v>426</v>
      </c>
      <c r="D22" s="11" t="s">
        <v>427</v>
      </c>
      <c r="E22" s="11" t="n">
        <v>2025</v>
      </c>
      <c r="F22" s="12" t="s">
        <v>428</v>
      </c>
      <c r="G22" s="12" t="s">
        <v>429</v>
      </c>
      <c r="H22" s="11"/>
    </row>
    <row r="23" customFormat="false" ht="23.85" hidden="false" customHeight="false" outlineLevel="0" collapsed="false">
      <c r="A23" s="11" t="s">
        <v>57</v>
      </c>
      <c r="B23" s="11" t="s">
        <v>430</v>
      </c>
      <c r="C23" s="5" t="n">
        <v>20</v>
      </c>
      <c r="D23" s="11" t="s">
        <v>427</v>
      </c>
      <c r="E23" s="11" t="n">
        <v>2025</v>
      </c>
      <c r="F23" s="12" t="s">
        <v>422</v>
      </c>
      <c r="G23" s="12" t="s">
        <v>423</v>
      </c>
      <c r="H23" s="11"/>
    </row>
    <row r="24" customFormat="false" ht="23.85" hidden="false" customHeight="false" outlineLevel="0" collapsed="false">
      <c r="A24" s="11" t="s">
        <v>57</v>
      </c>
      <c r="B24" s="11" t="s">
        <v>431</v>
      </c>
      <c r="C24" s="5" t="s">
        <v>432</v>
      </c>
      <c r="D24" s="11" t="s">
        <v>433</v>
      </c>
      <c r="E24" s="11" t="n">
        <v>2025</v>
      </c>
      <c r="F24" s="12" t="s">
        <v>434</v>
      </c>
      <c r="G24" s="12" t="s">
        <v>435</v>
      </c>
      <c r="H24" s="11"/>
    </row>
    <row r="25" customFormat="false" ht="23.85" hidden="false" customHeight="false" outlineLevel="0" collapsed="false">
      <c r="A25" s="11" t="s">
        <v>415</v>
      </c>
      <c r="B25" s="12" t="s">
        <v>436</v>
      </c>
      <c r="C25" s="5" t="s">
        <v>437</v>
      </c>
      <c r="D25" s="11" t="s">
        <v>438</v>
      </c>
      <c r="E25" s="11" t="n">
        <v>2025</v>
      </c>
      <c r="F25" s="12" t="s">
        <v>439</v>
      </c>
      <c r="G25" s="12" t="s">
        <v>440</v>
      </c>
      <c r="H25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4" t="s">
        <v>441</v>
      </c>
      <c r="B1" s="4" t="s">
        <v>264</v>
      </c>
      <c r="C1" s="4" t="s">
        <v>381</v>
      </c>
      <c r="D1" s="4" t="s">
        <v>442</v>
      </c>
    </row>
    <row r="2" customFormat="false" ht="15" hidden="false" customHeight="false" outlineLevel="0" collapsed="false">
      <c r="A2" s="12" t="s">
        <v>443</v>
      </c>
      <c r="B2" s="5" t="n">
        <v>3.5</v>
      </c>
      <c r="C2" s="11" t="s">
        <v>444</v>
      </c>
      <c r="D2" s="12" t="s">
        <v>445</v>
      </c>
    </row>
    <row r="3" customFormat="false" ht="15" hidden="false" customHeight="false" outlineLevel="0" collapsed="false">
      <c r="A3" s="11" t="s">
        <v>446</v>
      </c>
      <c r="B3" s="5" t="n">
        <v>6</v>
      </c>
      <c r="C3" s="11" t="s">
        <v>444</v>
      </c>
      <c r="D3" s="11" t="s">
        <v>447</v>
      </c>
    </row>
    <row r="4" customFormat="false" ht="15" hidden="false" customHeight="false" outlineLevel="0" collapsed="false">
      <c r="A4" s="11" t="s">
        <v>448</v>
      </c>
      <c r="B4" s="5" t="n">
        <v>3</v>
      </c>
      <c r="C4" s="11" t="s">
        <v>444</v>
      </c>
      <c r="D4" s="11" t="s">
        <v>449</v>
      </c>
    </row>
    <row r="5" customFormat="false" ht="15" hidden="false" customHeight="false" outlineLevel="0" collapsed="false">
      <c r="A5" s="11" t="s">
        <v>450</v>
      </c>
      <c r="B5" s="5" t="n">
        <v>3.5</v>
      </c>
      <c r="C5" s="11" t="s">
        <v>444</v>
      </c>
      <c r="D5" s="11" t="s">
        <v>451</v>
      </c>
    </row>
    <row r="6" customFormat="false" ht="15" hidden="false" customHeight="false" outlineLevel="0" collapsed="false">
      <c r="A6" s="11" t="s">
        <v>452</v>
      </c>
      <c r="B6" s="5" t="n">
        <v>4.5</v>
      </c>
      <c r="C6" s="11" t="s">
        <v>444</v>
      </c>
      <c r="D6" s="11" t="s">
        <v>453</v>
      </c>
    </row>
    <row r="7" customFormat="false" ht="15" hidden="false" customHeight="false" outlineLevel="0" collapsed="false">
      <c r="A7" s="11" t="s">
        <v>454</v>
      </c>
      <c r="B7" s="5" t="n">
        <v>-0.1</v>
      </c>
      <c r="C7" s="11" t="s">
        <v>455</v>
      </c>
      <c r="D7" s="11" t="s">
        <v>456</v>
      </c>
    </row>
    <row r="8" customFormat="false" ht="15" hidden="false" customHeight="false" outlineLevel="0" collapsed="false">
      <c r="A8" s="11" t="s">
        <v>457</v>
      </c>
      <c r="B8" s="5" t="n">
        <v>1</v>
      </c>
      <c r="C8" s="11" t="s">
        <v>458</v>
      </c>
      <c r="D8" s="11" t="s">
        <v>459</v>
      </c>
    </row>
    <row r="9" customFormat="false" ht="15" hidden="false" customHeight="false" outlineLevel="0" collapsed="false">
      <c r="A9" s="11" t="s">
        <v>460</v>
      </c>
      <c r="B9" s="5" t="n">
        <v>1</v>
      </c>
      <c r="C9" s="11" t="s">
        <v>458</v>
      </c>
      <c r="D9" s="11"/>
    </row>
    <row r="10" customFormat="false" ht="15" hidden="false" customHeight="false" outlineLevel="0" collapsed="false">
      <c r="A10" s="11" t="s">
        <v>461</v>
      </c>
      <c r="B10" s="5" t="n">
        <v>1.1</v>
      </c>
      <c r="C10" s="11" t="s">
        <v>458</v>
      </c>
      <c r="D10" s="12" t="s">
        <v>462</v>
      </c>
    </row>
    <row r="11" customFormat="false" ht="15" hidden="false" customHeight="false" outlineLevel="0" collapsed="false">
      <c r="A11" s="11" t="s">
        <v>463</v>
      </c>
      <c r="B11" s="5" t="n">
        <v>1</v>
      </c>
      <c r="C11" s="11" t="s">
        <v>458</v>
      </c>
      <c r="D11" s="11"/>
    </row>
    <row r="12" customFormat="false" ht="15" hidden="false" customHeight="false" outlineLevel="0" collapsed="false">
      <c r="A12" s="11" t="s">
        <v>464</v>
      </c>
      <c r="B12" s="5" t="n">
        <v>1.5</v>
      </c>
      <c r="C12" s="11" t="s">
        <v>458</v>
      </c>
      <c r="D12" s="12" t="s">
        <v>465</v>
      </c>
    </row>
    <row r="13" customFormat="false" ht="15" hidden="false" customHeight="false" outlineLevel="0" collapsed="false">
      <c r="A13" s="11" t="s">
        <v>466</v>
      </c>
      <c r="B13" s="5" t="n">
        <v>1.45</v>
      </c>
      <c r="C13" s="11" t="s">
        <v>458</v>
      </c>
      <c r="D13" s="11" t="s">
        <v>467</v>
      </c>
    </row>
    <row r="14" customFormat="false" ht="15" hidden="false" customHeight="false" outlineLevel="0" collapsed="false">
      <c r="A14" s="11" t="s">
        <v>468</v>
      </c>
      <c r="B14" s="5" t="n">
        <v>1.55</v>
      </c>
      <c r="C14" s="11" t="s">
        <v>458</v>
      </c>
      <c r="D14" s="11" t="s">
        <v>467</v>
      </c>
    </row>
    <row r="15" customFormat="false" ht="15" hidden="false" customHeight="false" outlineLevel="0" collapsed="false">
      <c r="A15" s="11" t="s">
        <v>469</v>
      </c>
      <c r="B15" s="5" t="n">
        <v>0.05</v>
      </c>
      <c r="C15" s="11" t="s">
        <v>470</v>
      </c>
      <c r="D15" s="11" t="s">
        <v>471</v>
      </c>
    </row>
    <row r="16" customFormat="false" ht="15" hidden="false" customHeight="false" outlineLevel="0" collapsed="false">
      <c r="A16" s="11" t="s">
        <v>472</v>
      </c>
      <c r="B16" s="5" t="n">
        <v>0.15</v>
      </c>
      <c r="C16" s="11" t="s">
        <v>470</v>
      </c>
      <c r="D16" s="11" t="s">
        <v>473</v>
      </c>
    </row>
    <row r="17" customFormat="false" ht="15" hidden="false" customHeight="false" outlineLevel="0" collapsed="false">
      <c r="A17" s="11" t="s">
        <v>474</v>
      </c>
      <c r="B17" s="5" t="n">
        <v>0.15</v>
      </c>
      <c r="C17" s="11" t="s">
        <v>470</v>
      </c>
      <c r="D17" s="11"/>
    </row>
    <row r="18" customFormat="false" ht="15" hidden="false" customHeight="false" outlineLevel="0" collapsed="false">
      <c r="A18" s="11" t="s">
        <v>475</v>
      </c>
      <c r="B18" s="5" t="n">
        <v>0.2</v>
      </c>
      <c r="C18" s="11" t="s">
        <v>470</v>
      </c>
      <c r="D18" s="11"/>
    </row>
    <row r="19" customFormat="false" ht="15" hidden="false" customHeight="false" outlineLevel="0" collapsed="false">
      <c r="A19" s="11" t="s">
        <v>476</v>
      </c>
      <c r="B19" s="5" t="n">
        <v>0.05</v>
      </c>
      <c r="C19" s="11" t="s">
        <v>470</v>
      </c>
      <c r="D19" s="12" t="s">
        <v>477</v>
      </c>
    </row>
    <row r="20" customFormat="false" ht="15" hidden="false" customHeight="false" outlineLevel="0" collapsed="false">
      <c r="A20" s="11" t="s">
        <v>478</v>
      </c>
      <c r="B20" s="5" t="n">
        <v>0.08</v>
      </c>
      <c r="C20" s="11" t="s">
        <v>470</v>
      </c>
      <c r="D20" s="12" t="s">
        <v>479</v>
      </c>
    </row>
    <row r="21" customFormat="false" ht="15" hidden="false" customHeight="false" outlineLevel="0" collapsed="false">
      <c r="A21" s="11" t="s">
        <v>480</v>
      </c>
      <c r="B21" s="5" t="n">
        <v>0.92</v>
      </c>
      <c r="C21" s="11" t="s">
        <v>458</v>
      </c>
      <c r="D21" s="11" t="s">
        <v>481</v>
      </c>
    </row>
    <row r="22" customFormat="false" ht="15" hidden="false" customHeight="false" outlineLevel="0" collapsed="false">
      <c r="A22" s="11" t="s">
        <v>482</v>
      </c>
      <c r="B22" s="5" t="n">
        <v>0.95</v>
      </c>
      <c r="C22" s="11" t="s">
        <v>458</v>
      </c>
      <c r="D22" s="11" t="s">
        <v>483</v>
      </c>
    </row>
    <row r="23" customFormat="false" ht="15" hidden="false" customHeight="false" outlineLevel="0" collapsed="false">
      <c r="A23" s="11" t="s">
        <v>484</v>
      </c>
      <c r="B23" s="5" t="n">
        <v>0.95</v>
      </c>
      <c r="C23" s="11" t="s">
        <v>458</v>
      </c>
      <c r="D23" s="11" t="s">
        <v>485</v>
      </c>
    </row>
    <row r="24" customFormat="false" ht="15" hidden="false" customHeight="false" outlineLevel="0" collapsed="false">
      <c r="A24" s="11" t="s">
        <v>486</v>
      </c>
      <c r="B24" s="5" t="n">
        <v>1.12</v>
      </c>
      <c r="C24" s="11" t="s">
        <v>458</v>
      </c>
      <c r="D24" s="11"/>
    </row>
    <row r="25" customFormat="false" ht="15" hidden="false" customHeight="false" outlineLevel="0" collapsed="false">
      <c r="A25" s="11" t="s">
        <v>487</v>
      </c>
      <c r="B25" s="5" t="n">
        <v>0.45</v>
      </c>
      <c r="C25" s="11" t="s">
        <v>488</v>
      </c>
      <c r="D25" s="11" t="s">
        <v>489</v>
      </c>
    </row>
    <row r="26" customFormat="false" ht="15" hidden="false" customHeight="false" outlineLevel="0" collapsed="false">
      <c r="A26" s="11" t="s">
        <v>490</v>
      </c>
      <c r="B26" s="5" t="n">
        <v>0.3</v>
      </c>
      <c r="C26" s="11" t="s">
        <v>488</v>
      </c>
      <c r="D26" s="11" t="s">
        <v>491</v>
      </c>
    </row>
    <row r="27" customFormat="false" ht="15" hidden="false" customHeight="false" outlineLevel="0" collapsed="false">
      <c r="A27" s="11" t="s">
        <v>492</v>
      </c>
      <c r="B27" s="5" t="n">
        <v>0.2</v>
      </c>
      <c r="C27" s="11" t="s">
        <v>488</v>
      </c>
      <c r="D27" s="11" t="s">
        <v>493</v>
      </c>
    </row>
    <row r="28" customFormat="false" ht="15" hidden="false" customHeight="false" outlineLevel="0" collapsed="false">
      <c r="A28" s="11" t="s">
        <v>494</v>
      </c>
      <c r="B28" s="5" t="n">
        <v>9</v>
      </c>
      <c r="C28" s="11" t="s">
        <v>433</v>
      </c>
      <c r="D28" s="12" t="s">
        <v>495</v>
      </c>
    </row>
    <row r="29" customFormat="false" ht="15" hidden="false" customHeight="false" outlineLevel="0" collapsed="false">
      <c r="A29" s="11" t="s">
        <v>496</v>
      </c>
      <c r="B29" s="5" t="n">
        <v>0.6</v>
      </c>
      <c r="C29" s="11" t="s">
        <v>497</v>
      </c>
      <c r="D29" s="11" t="s">
        <v>498</v>
      </c>
    </row>
    <row r="30" customFormat="false" ht="15" hidden="false" customHeight="false" outlineLevel="0" collapsed="false">
      <c r="A30" s="11" t="s">
        <v>499</v>
      </c>
      <c r="B30" s="5" t="n">
        <v>180</v>
      </c>
      <c r="C30" s="11" t="s">
        <v>385</v>
      </c>
      <c r="D30" s="11" t="s">
        <v>500</v>
      </c>
    </row>
    <row r="31" customFormat="false" ht="15" hidden="false" customHeight="false" outlineLevel="0" collapsed="false">
      <c r="A31" s="11" t="s">
        <v>501</v>
      </c>
      <c r="B31" s="5" t="n">
        <v>90</v>
      </c>
      <c r="C31" s="11" t="s">
        <v>385</v>
      </c>
      <c r="D31" s="11" t="s">
        <v>502</v>
      </c>
    </row>
    <row r="32" customFormat="false" ht="15" hidden="false" customHeight="false" outlineLevel="0" collapsed="false">
      <c r="A32" s="11" t="s">
        <v>503</v>
      </c>
      <c r="B32" s="5" t="n">
        <v>9</v>
      </c>
      <c r="C32" s="11" t="s">
        <v>438</v>
      </c>
      <c r="D32" s="11" t="s">
        <v>504</v>
      </c>
    </row>
    <row r="33" customFormat="false" ht="15" hidden="false" customHeight="false" outlineLevel="0" collapsed="false">
      <c r="A33" s="11" t="s">
        <v>505</v>
      </c>
      <c r="B33" s="5" t="n">
        <v>0.55</v>
      </c>
      <c r="C33" s="11" t="s">
        <v>506</v>
      </c>
      <c r="D33" s="11"/>
    </row>
    <row r="34" customFormat="false" ht="15" hidden="false" customHeight="false" outlineLevel="0" collapsed="false">
      <c r="A34" s="11" t="s">
        <v>507</v>
      </c>
      <c r="B34" s="5" t="n">
        <v>14000</v>
      </c>
      <c r="C34" s="11" t="s">
        <v>508</v>
      </c>
      <c r="D34" s="12" t="s">
        <v>509</v>
      </c>
    </row>
    <row r="35" customFormat="false" ht="15" hidden="false" customHeight="false" outlineLevel="0" collapsed="false">
      <c r="A35" s="11" t="s">
        <v>510</v>
      </c>
      <c r="B35" s="5" t="n">
        <v>7000</v>
      </c>
      <c r="C35" s="11" t="s">
        <v>511</v>
      </c>
      <c r="D35" s="11"/>
    </row>
    <row r="36" customFormat="false" ht="15" hidden="false" customHeight="false" outlineLevel="0" collapsed="false">
      <c r="A36" s="11" t="s">
        <v>512</v>
      </c>
      <c r="B36" s="5" t="n">
        <v>2000</v>
      </c>
      <c r="C36" s="11" t="s">
        <v>513</v>
      </c>
      <c r="D36" s="11"/>
    </row>
    <row r="37" customFormat="false" ht="15" hidden="false" customHeight="false" outlineLevel="0" collapsed="false">
      <c r="A37" s="11" t="s">
        <v>514</v>
      </c>
      <c r="B37" s="5" t="n">
        <v>1500</v>
      </c>
      <c r="C37" s="11" t="s">
        <v>513</v>
      </c>
      <c r="D37" s="11"/>
    </row>
    <row r="38" customFormat="false" ht="15" hidden="false" customHeight="false" outlineLevel="0" collapsed="false">
      <c r="A38" s="11" t="s">
        <v>515</v>
      </c>
      <c r="B38" s="5" t="n">
        <v>3500</v>
      </c>
      <c r="C38" s="11" t="s">
        <v>516</v>
      </c>
      <c r="D38" s="11" t="s">
        <v>517</v>
      </c>
    </row>
    <row r="39" customFormat="false" ht="15" hidden="false" customHeight="false" outlineLevel="0" collapsed="false">
      <c r="A39" s="11" t="s">
        <v>518</v>
      </c>
      <c r="B39" s="5" t="n">
        <v>6000</v>
      </c>
      <c r="C39" s="11" t="s">
        <v>516</v>
      </c>
      <c r="D39" s="11"/>
    </row>
    <row r="40" customFormat="false" ht="15" hidden="false" customHeight="false" outlineLevel="0" collapsed="false">
      <c r="A40" s="11" t="s">
        <v>280</v>
      </c>
      <c r="B40" s="5" t="s">
        <v>519</v>
      </c>
      <c r="C40" s="11"/>
      <c r="D40" s="11" t="s">
        <v>520</v>
      </c>
    </row>
    <row r="41" customFormat="false" ht="15" hidden="false" customHeight="false" outlineLevel="0" collapsed="false">
      <c r="A41" s="11" t="s">
        <v>283</v>
      </c>
      <c r="B41" s="5" t="s">
        <v>521</v>
      </c>
      <c r="C41" s="11" t="s">
        <v>458</v>
      </c>
      <c r="D41" s="11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523</v>
      </c>
      <c r="B1" s="4" t="s">
        <v>524</v>
      </c>
      <c r="C1" s="4" t="s">
        <v>227</v>
      </c>
      <c r="D1" s="4" t="s">
        <v>23</v>
      </c>
    </row>
    <row r="2" customFormat="false" ht="15" hidden="false" customHeight="false" outlineLevel="0" collapsed="false">
      <c r="A2" s="11" t="s">
        <v>525</v>
      </c>
      <c r="B2" s="11" t="s">
        <v>54</v>
      </c>
      <c r="C2" s="11" t="s">
        <v>526</v>
      </c>
      <c r="D2" s="11" t="s">
        <v>56</v>
      </c>
    </row>
    <row r="3" customFormat="false" ht="15" hidden="false" customHeight="false" outlineLevel="0" collapsed="false">
      <c r="A3" s="11" t="s">
        <v>527</v>
      </c>
      <c r="B3" s="11" t="s">
        <v>72</v>
      </c>
      <c r="C3" s="11" t="s">
        <v>528</v>
      </c>
      <c r="D3" s="11" t="s">
        <v>56</v>
      </c>
    </row>
    <row r="4" customFormat="false" ht="15" hidden="false" customHeight="false" outlineLevel="0" collapsed="false">
      <c r="A4" s="11" t="s">
        <v>529</v>
      </c>
      <c r="B4" s="11" t="s">
        <v>86</v>
      </c>
      <c r="C4" s="11" t="s">
        <v>526</v>
      </c>
      <c r="D4" s="11" t="s">
        <v>87</v>
      </c>
    </row>
    <row r="5" customFormat="false" ht="15" hidden="false" customHeight="false" outlineLevel="0" collapsed="false">
      <c r="A5" s="11" t="s">
        <v>530</v>
      </c>
      <c r="B5" s="11" t="s">
        <v>100</v>
      </c>
      <c r="C5" s="11" t="s">
        <v>526</v>
      </c>
      <c r="D5" s="11" t="s">
        <v>56</v>
      </c>
    </row>
    <row r="6" customFormat="false" ht="15" hidden="false" customHeight="false" outlineLevel="0" collapsed="false">
      <c r="A6" s="11" t="s">
        <v>531</v>
      </c>
      <c r="B6" s="11" t="s">
        <v>110</v>
      </c>
      <c r="C6" s="11" t="s">
        <v>532</v>
      </c>
      <c r="D6" s="11" t="s">
        <v>111</v>
      </c>
    </row>
    <row r="7" customFormat="false" ht="15" hidden="false" customHeight="false" outlineLevel="0" collapsed="false">
      <c r="A7" s="11" t="s">
        <v>533</v>
      </c>
      <c r="B7" s="11" t="s">
        <v>122</v>
      </c>
      <c r="C7" s="11" t="s">
        <v>528</v>
      </c>
      <c r="D7" s="11" t="s">
        <v>111</v>
      </c>
    </row>
    <row r="8" customFormat="false" ht="15" hidden="false" customHeight="false" outlineLevel="0" collapsed="false">
      <c r="A8" s="11" t="s">
        <v>534</v>
      </c>
      <c r="B8" s="11" t="s">
        <v>130</v>
      </c>
      <c r="C8" s="11" t="s">
        <v>535</v>
      </c>
      <c r="D8" s="11" t="s">
        <v>131</v>
      </c>
    </row>
    <row r="9" customFormat="false" ht="15" hidden="false" customHeight="false" outlineLevel="0" collapsed="false">
      <c r="A9" s="11" t="s">
        <v>536</v>
      </c>
      <c r="B9" s="11" t="s">
        <v>142</v>
      </c>
      <c r="C9" s="11" t="s">
        <v>526</v>
      </c>
      <c r="D9" s="11" t="s">
        <v>131</v>
      </c>
    </row>
    <row r="10" customFormat="false" ht="15" hidden="false" customHeight="false" outlineLevel="0" collapsed="false">
      <c r="A10" s="11" t="s">
        <v>537</v>
      </c>
      <c r="B10" s="11" t="s">
        <v>150</v>
      </c>
      <c r="C10" s="11" t="s">
        <v>526</v>
      </c>
      <c r="D10" s="11" t="s">
        <v>151</v>
      </c>
    </row>
    <row r="11" customFormat="false" ht="15" hidden="false" customHeight="false" outlineLevel="0" collapsed="false">
      <c r="A11" s="11" t="s">
        <v>538</v>
      </c>
      <c r="B11" s="11" t="s">
        <v>161</v>
      </c>
      <c r="C11" s="11" t="s">
        <v>528</v>
      </c>
      <c r="D11" s="11" t="s">
        <v>151</v>
      </c>
    </row>
    <row r="12" customFormat="false" ht="15" hidden="false" customHeight="false" outlineLevel="0" collapsed="false">
      <c r="A12" s="11" t="s">
        <v>539</v>
      </c>
      <c r="B12" s="11" t="s">
        <v>171</v>
      </c>
      <c r="C12" s="11" t="s">
        <v>540</v>
      </c>
      <c r="D12" s="11" t="s">
        <v>172</v>
      </c>
    </row>
    <row r="13" customFormat="false" ht="15" hidden="false" customHeight="false" outlineLevel="0" collapsed="false">
      <c r="A13" s="11" t="s">
        <v>541</v>
      </c>
      <c r="B13" s="11" t="s">
        <v>182</v>
      </c>
      <c r="C13" s="11" t="s">
        <v>542</v>
      </c>
      <c r="D13" s="11" t="s">
        <v>172</v>
      </c>
    </row>
    <row r="14" customFormat="false" ht="15" hidden="false" customHeight="false" outlineLevel="0" collapsed="false">
      <c r="A14" s="11" t="s">
        <v>543</v>
      </c>
      <c r="B14" s="11" t="s">
        <v>190</v>
      </c>
      <c r="C14" s="11" t="s">
        <v>526</v>
      </c>
      <c r="D14" s="11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544</v>
      </c>
      <c r="B1" s="4" t="s">
        <v>20</v>
      </c>
      <c r="C1" s="4" t="s">
        <v>24</v>
      </c>
      <c r="D1" s="4" t="s">
        <v>23</v>
      </c>
    </row>
    <row r="2" customFormat="false" ht="15" hidden="false" customHeight="false" outlineLevel="0" collapsed="false">
      <c r="A2" s="11" t="s">
        <v>545</v>
      </c>
      <c r="B2" s="11" t="s">
        <v>53</v>
      </c>
      <c r="C2" s="11" t="s">
        <v>57</v>
      </c>
      <c r="D2" s="11" t="s">
        <v>56</v>
      </c>
    </row>
    <row r="3" customFormat="false" ht="15" hidden="false" customHeight="false" outlineLevel="0" collapsed="false">
      <c r="A3" s="11" t="s">
        <v>546</v>
      </c>
      <c r="B3" s="11" t="s">
        <v>109</v>
      </c>
      <c r="C3" s="11" t="s">
        <v>112</v>
      </c>
      <c r="D3" s="11" t="s">
        <v>111</v>
      </c>
    </row>
    <row r="4" customFormat="false" ht="15" hidden="false" customHeight="false" outlineLevel="0" collapsed="false">
      <c r="A4" s="11" t="s">
        <v>547</v>
      </c>
      <c r="B4" s="11" t="s">
        <v>129</v>
      </c>
      <c r="C4" s="11" t="s">
        <v>131</v>
      </c>
      <c r="D4" s="11" t="s">
        <v>131</v>
      </c>
    </row>
    <row r="5" customFormat="false" ht="15" hidden="false" customHeight="false" outlineLevel="0" collapsed="false">
      <c r="A5" s="11" t="s">
        <v>548</v>
      </c>
      <c r="B5" s="11" t="s">
        <v>149</v>
      </c>
      <c r="C5" s="11" t="s">
        <v>152</v>
      </c>
      <c r="D5" s="11" t="s">
        <v>151</v>
      </c>
    </row>
    <row r="6" customFormat="false" ht="15" hidden="false" customHeight="false" outlineLevel="0" collapsed="false">
      <c r="A6" s="11" t="s">
        <v>549</v>
      </c>
      <c r="B6" s="11" t="s">
        <v>170</v>
      </c>
      <c r="C6" s="11" t="s">
        <v>173</v>
      </c>
      <c r="D6" s="11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4" t="s">
        <v>38</v>
      </c>
      <c r="B1" s="4" t="s">
        <v>550</v>
      </c>
      <c r="C1" s="4" t="s">
        <v>230</v>
      </c>
    </row>
    <row r="2" customFormat="false" ht="15" hidden="false" customHeight="false" outlineLevel="0" collapsed="false">
      <c r="A2" s="11" t="s">
        <v>155</v>
      </c>
      <c r="B2" s="5" t="n">
        <v>1</v>
      </c>
      <c r="C2" s="11" t="s">
        <v>551</v>
      </c>
    </row>
    <row r="3" customFormat="false" ht="15" hidden="false" customHeight="false" outlineLevel="0" collapsed="false">
      <c r="A3" s="11" t="s">
        <v>65</v>
      </c>
      <c r="B3" s="5" t="n">
        <v>3.6725</v>
      </c>
      <c r="C3" s="11" t="s">
        <v>552</v>
      </c>
    </row>
    <row r="4" customFormat="false" ht="15" hidden="false" customHeight="false" outlineLevel="0" collapsed="false">
      <c r="A4" s="11" t="s">
        <v>94</v>
      </c>
      <c r="B4" s="5" t="n">
        <v>3.75</v>
      </c>
      <c r="C4" s="11" t="s">
        <v>552</v>
      </c>
    </row>
    <row r="5" customFormat="false" ht="15" hidden="false" customHeight="false" outlineLevel="0" collapsed="false">
      <c r="A5" s="11" t="s">
        <v>116</v>
      </c>
      <c r="B5" s="5" t="n">
        <v>0.92</v>
      </c>
      <c r="C5" s="12" t="s">
        <v>553</v>
      </c>
    </row>
    <row r="6" customFormat="false" ht="15" hidden="false" customHeight="false" outlineLevel="0" collapsed="false">
      <c r="A6" s="11" t="s">
        <v>136</v>
      </c>
      <c r="B6" s="5" t="n">
        <v>1.34</v>
      </c>
      <c r="C6" s="12" t="s">
        <v>553</v>
      </c>
    </row>
    <row r="7" customFormat="false" ht="15" hidden="false" customHeight="false" outlineLevel="0" collapsed="false">
      <c r="A7" s="11" t="s">
        <v>176</v>
      </c>
      <c r="B7" s="5" t="n">
        <v>7.2</v>
      </c>
      <c r="C7" s="12" t="s">
        <v>553</v>
      </c>
    </row>
    <row r="8" customFormat="false" ht="15" hidden="false" customHeight="false" outlineLevel="0" collapsed="false">
      <c r="A8" s="11" t="s">
        <v>195</v>
      </c>
      <c r="B8" s="5" t="n">
        <v>85</v>
      </c>
      <c r="C8" s="12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2026-10-03T02:01:24Z</dcterms:created>
  <dc:creator>openpyxl</dc:creator>
  <dc:description/>
  <dc:language>en-US</dc:language>
  <cp:lastModifiedBy/>
  <dcterms:modified xsi:type="dcterms:W3CDTF">2026-10-03T02:01:24Z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